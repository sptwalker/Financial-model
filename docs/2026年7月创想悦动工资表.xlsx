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工作资料\薪酬工作\1、薪酬核算\1、月度薪酬核算\薪酬核算数据-202607\薪酬核算数据-202607\"/>
    </mc:Choice>
  </mc:AlternateContent>
  <bookViews>
    <workbookView windowWidth="28800" windowHeight="12375" tabRatio="752" firstSheet="2"/>
  </bookViews>
  <sheets>
    <sheet name="汇总" sheetId="1" r:id="rId1"/>
    <sheet name="环比变动" sheetId="3" r:id="rId2"/>
    <sheet name="同比变动" sheetId="8" r:id="rId3"/>
    <sheet name="各公司汇总" sheetId="11" r:id="rId4"/>
    <sheet name="工资表明细" sheetId="13" r:id="rId5"/>
    <sheet name="离职补偿-创想悦动" sheetId="43" state="hidden" r:id="rId6"/>
    <sheet name="动态表" sheetId="47" r:id="rId7"/>
    <sheet name="考勤" sheetId="48" r:id="rId8"/>
    <sheet name="加班费" sheetId="80" state="hidden" r:id="rId9"/>
    <sheet name="其他补发" sheetId="49" r:id="rId10"/>
    <sheet name="奖金" sheetId="78" state="hidden" r:id="rId11"/>
    <sheet name="房租水电" sheetId="85" state="hidden" r:id="rId12"/>
    <sheet name="税后扣款" sheetId="76" r:id="rId13"/>
    <sheet name="社会保险" sheetId="53" r:id="rId14"/>
    <sheet name="公积金" sheetId="86" r:id="rId15"/>
    <sheet name="专项扣除" sheetId="52" r:id="rId16"/>
    <sheet name="上月累计工资累计社保和公积金" sheetId="10" r:id="rId17"/>
  </sheets>
  <externalReferences>
    <externalReference r:id="rId18"/>
  </externalReferences>
  <definedNames>
    <definedName name="_xlnm._FilterDatabase" localSheetId="0" hidden="1">汇总!$A$2:$AH$10</definedName>
    <definedName name="_xlnm._FilterDatabase" localSheetId="4" hidden="1">工资表明细!$A$2:$BN$80</definedName>
    <definedName name="_xlnm._FilterDatabase" localSheetId="6" hidden="1">动态表!$A$3:$AR$9</definedName>
    <definedName name="_xlnm._FilterDatabase" localSheetId="7" hidden="1">考勤!$A$2:$BC$85</definedName>
    <definedName name="_xlnm._FilterDatabase" localSheetId="8" hidden="1">加班费!$A$1:$V$7</definedName>
    <definedName name="_xlnm._FilterDatabase" localSheetId="9" hidden="1">其他补发!$A$1:$V$9</definedName>
    <definedName name="_xlnm._FilterDatabase" localSheetId="10" hidden="1">奖金!$A$2:$Q$15</definedName>
    <definedName name="_xlnm._FilterDatabase" localSheetId="11" hidden="1">房租水电!$A$1:$L$9</definedName>
    <definedName name="_xlnm._FilterDatabase" localSheetId="12" hidden="1">税后扣款!$A$1:$T$55</definedName>
    <definedName name="_xlnm._FilterDatabase" localSheetId="13" hidden="1">社会保险!$A$1:$AG$72</definedName>
    <definedName name="_xlnm._FilterDatabase" localSheetId="14" hidden="1">公积金!$A$1:$AA$72</definedName>
    <definedName name="_xlnm._FilterDatabase" localSheetId="15" hidden="1">专项扣除!$A$1:$S$8</definedName>
    <definedName name="_xlnm._FilterDatabase" localSheetId="16" hidden="1">上月累计工资累计社保和公积金!$A$1:$O$395</definedName>
    <definedName name="_xlnm._FilterDatabase" localSheetId="3" hidden="1">各公司汇总!#REF!</definedName>
    <definedName name="A部门L1">[1]员工信息统计表!$I1</definedName>
    <definedName name="_xlnm.Print_Area" localSheetId="5">'离职补偿-创想悦动'!$A$1:$K$10</definedName>
    <definedName name="_xlnm.Print_Titles" localSheetId="4">工资表明细!#REF!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陈燕</author>
  </authors>
  <commentList>
    <comment ref="K1" authorId="0">
      <text>
        <r>
          <rPr>
            <sz val="9"/>
            <rFont val="宋体"/>
            <charset val="134"/>
          </rPr>
          <t>陈燕:
其他补贴</t>
        </r>
      </text>
    </comment>
  </commentList>
</comments>
</file>

<file path=xl/sharedStrings.xml><?xml version="1.0" encoding="utf-8"?>
<sst xmlns="http://schemas.openxmlformats.org/spreadsheetml/2006/main" count="4675" uniqueCount="929">
  <si>
    <t>创想悦动2026年7月工资汇总表</t>
  </si>
  <si>
    <t>分类</t>
  </si>
  <si>
    <t>部门</t>
  </si>
  <si>
    <t>人数</t>
  </si>
  <si>
    <t>基本工资</t>
  </si>
  <si>
    <t>绩效工资</t>
  </si>
  <si>
    <t>岗位津贴</t>
  </si>
  <si>
    <t>节日福利</t>
  </si>
  <si>
    <t>通讯补贴</t>
  </si>
  <si>
    <t>考勤扣款</t>
  </si>
  <si>
    <t>其他扣款</t>
  </si>
  <si>
    <t>加班费</t>
  </si>
  <si>
    <t>绩效奖金</t>
  </si>
  <si>
    <t>其他奖金</t>
  </si>
  <si>
    <t>伙食补贴</t>
  </si>
  <si>
    <t>住房补贴</t>
  </si>
  <si>
    <t>司机补贴</t>
  </si>
  <si>
    <t>专利奖</t>
  </si>
  <si>
    <t>其他补发</t>
  </si>
  <si>
    <t>补发合计</t>
  </si>
  <si>
    <t>应付工资</t>
  </si>
  <si>
    <t>借款逾期扣款</t>
  </si>
  <si>
    <t>房租水电</t>
  </si>
  <si>
    <t>房租水电1</t>
  </si>
  <si>
    <t>其他代扣款</t>
  </si>
  <si>
    <t>扣款合计</t>
  </si>
  <si>
    <t>养老保险</t>
  </si>
  <si>
    <t>医疗保险</t>
  </si>
  <si>
    <t>失业保险</t>
  </si>
  <si>
    <t>住房公积金</t>
  </si>
  <si>
    <t>所得税</t>
  </si>
  <si>
    <t>实发工资</t>
  </si>
  <si>
    <t>销售</t>
  </si>
  <si>
    <t>创想悦动-销售</t>
  </si>
  <si>
    <t>小计</t>
  </si>
  <si>
    <t>研发</t>
  </si>
  <si>
    <t>创想悦动-研发</t>
  </si>
  <si>
    <t>职能</t>
  </si>
  <si>
    <t>创想悦动-管理</t>
  </si>
  <si>
    <t>总计</t>
  </si>
  <si>
    <t>2026年7月创想悦动工资环比变动情况</t>
  </si>
  <si>
    <t>年月</t>
  </si>
  <si>
    <t>项目</t>
  </si>
  <si>
    <t>基础工资</t>
  </si>
  <si>
    <t>水电费</t>
  </si>
  <si>
    <t>房租</t>
  </si>
  <si>
    <t>社保费</t>
  </si>
  <si>
    <t>个人所得税</t>
  </si>
  <si>
    <t>合计</t>
  </si>
  <si>
    <t>变动</t>
  </si>
  <si>
    <t>检查</t>
  </si>
  <si>
    <t>2025年8月创想悦动工资同比变动情况</t>
  </si>
  <si>
    <t>深圳创想悦动科技有限公司2026年7月工资表</t>
  </si>
  <si>
    <t>一级成本中心</t>
  </si>
  <si>
    <t>成本中心编码</t>
  </si>
  <si>
    <t>过节费</t>
  </si>
  <si>
    <t>其他税后扣款</t>
  </si>
  <si>
    <t>制表：</t>
  </si>
  <si>
    <t>财务部：</t>
  </si>
  <si>
    <t>人力资源部总监审批：</t>
  </si>
  <si>
    <t>财务部总监审批：</t>
  </si>
  <si>
    <t>审批：</t>
  </si>
  <si>
    <t>二级部门</t>
  </si>
  <si>
    <t>公共设计组</t>
  </si>
  <si>
    <t>品牌宣传组</t>
  </si>
  <si>
    <t>游戏研发部</t>
  </si>
  <si>
    <t>商务合作部</t>
  </si>
  <si>
    <t>基础产品部</t>
  </si>
  <si>
    <t>人资行政组</t>
  </si>
  <si>
    <t>平台运营部</t>
  </si>
  <si>
    <t>序号</t>
  </si>
  <si>
    <t>归属公司</t>
  </si>
  <si>
    <t>工号</t>
  </si>
  <si>
    <t>姓名</t>
  </si>
  <si>
    <t>用工类型</t>
  </si>
  <si>
    <t>一级部门</t>
  </si>
  <si>
    <t>报到本公司日期</t>
  </si>
  <si>
    <t>离职日期</t>
  </si>
  <si>
    <t>专业</t>
  </si>
  <si>
    <t>身份证号码</t>
  </si>
  <si>
    <t>卡号</t>
  </si>
  <si>
    <t>专利奖金</t>
  </si>
  <si>
    <t>累计子女教育</t>
  </si>
  <si>
    <t>累计继续教育</t>
  </si>
  <si>
    <t>累计住房贷款利息</t>
  </si>
  <si>
    <t>累计住房租金</t>
  </si>
  <si>
    <t>累计赡养老人</t>
  </si>
  <si>
    <t>累计婴幼儿照护费用</t>
  </si>
  <si>
    <t>累计个人养老金</t>
  </si>
  <si>
    <t>免税额</t>
  </si>
  <si>
    <t>本月合计扣除</t>
  </si>
  <si>
    <t>截止上月累计收入</t>
  </si>
  <si>
    <t>截止本月累计收入
（实习扣减20%）</t>
  </si>
  <si>
    <t>截止上月累计扣除</t>
  </si>
  <si>
    <t>截止当月累计扣除</t>
  </si>
  <si>
    <t>截止本月应交个税</t>
  </si>
  <si>
    <t>累计已扣税额</t>
  </si>
  <si>
    <t>本月应交个税</t>
  </si>
  <si>
    <t>邮箱</t>
  </si>
  <si>
    <t>总体逻辑检查</t>
  </si>
  <si>
    <t>备注</t>
  </si>
  <si>
    <t>创想悦动</t>
  </si>
  <si>
    <t>SCX00001</t>
  </si>
  <si>
    <t>刘丹</t>
  </si>
  <si>
    <t>合同制人员</t>
  </si>
  <si>
    <t>计算机网络技术</t>
  </si>
  <si>
    <t>420502197605290638</t>
  </si>
  <si>
    <t>6214855253515072</t>
  </si>
  <si>
    <t>SCX00002</t>
  </si>
  <si>
    <t>李奕佳</t>
  </si>
  <si>
    <t>生物化学与分子生物学</t>
  </si>
  <si>
    <t>330302200101050448</t>
  </si>
  <si>
    <t>6214834366472596</t>
  </si>
  <si>
    <t>SCX00003</t>
  </si>
  <si>
    <t>申华</t>
  </si>
  <si>
    <t>计算机科学与技术</t>
  </si>
  <si>
    <t>610121198412260077</t>
  </si>
  <si>
    <t>6226096554090061</t>
  </si>
  <si>
    <t>SCX00004</t>
  </si>
  <si>
    <t>杨晓波</t>
  </si>
  <si>
    <t>卡通动画</t>
  </si>
  <si>
    <t>440881198504087112</t>
  </si>
  <si>
    <t>6225887813978158</t>
  </si>
  <si>
    <t>SCX00005</t>
  </si>
  <si>
    <t>杨振</t>
  </si>
  <si>
    <t>汉语言文学</t>
  </si>
  <si>
    <t>110105197902051515</t>
  </si>
  <si>
    <t>6225886552211318</t>
  </si>
  <si>
    <t>SCX00006</t>
  </si>
  <si>
    <t>蔡昕宇</t>
  </si>
  <si>
    <t>网络工程</t>
  </si>
  <si>
    <t>210102198602153412</t>
  </si>
  <si>
    <t>6214867829480822</t>
  </si>
  <si>
    <t>SCX00007</t>
  </si>
  <si>
    <t>廖斌</t>
  </si>
  <si>
    <t>经济管理学</t>
  </si>
  <si>
    <t>350824199212280012</t>
  </si>
  <si>
    <t>6214851800394657</t>
  </si>
  <si>
    <t>SCX00008</t>
  </si>
  <si>
    <t>刘奎廷</t>
  </si>
  <si>
    <t>440921198308169216</t>
  </si>
  <si>
    <t>6214867555311811</t>
  </si>
  <si>
    <t>SCX00012</t>
  </si>
  <si>
    <t>张磊</t>
  </si>
  <si>
    <t>610422198511200056</t>
  </si>
  <si>
    <t>6225887837426135</t>
  </si>
  <si>
    <t>SCX00014</t>
  </si>
  <si>
    <t>杨东升</t>
  </si>
  <si>
    <t>电子信息工程</t>
  </si>
  <si>
    <t>610124199909050917</t>
  </si>
  <si>
    <t>6214830506177103</t>
  </si>
  <si>
    <t>SCX00015</t>
  </si>
  <si>
    <t>陈曦</t>
  </si>
  <si>
    <t>120106198508234519</t>
  </si>
  <si>
    <t>6226096550170206</t>
  </si>
  <si>
    <t>SCX00016</t>
  </si>
  <si>
    <t>胡豪</t>
  </si>
  <si>
    <t>生物技术</t>
  </si>
  <si>
    <t>362401199603151514</t>
  </si>
  <si>
    <t>6214838652728835</t>
  </si>
  <si>
    <t>SCX00017</t>
  </si>
  <si>
    <t>谢华明</t>
  </si>
  <si>
    <t>信息技术</t>
  </si>
  <si>
    <t>440301198403307519</t>
  </si>
  <si>
    <t>6214855256011335</t>
  </si>
  <si>
    <t>SCX00018</t>
  </si>
  <si>
    <t>郑琦</t>
  </si>
  <si>
    <t>投资学</t>
  </si>
  <si>
    <t>440882198405198016</t>
  </si>
  <si>
    <t>6214867805440519</t>
  </si>
  <si>
    <t>SCX00019</t>
  </si>
  <si>
    <t>张文文</t>
  </si>
  <si>
    <t>动画</t>
  </si>
  <si>
    <t>513029199704234064</t>
  </si>
  <si>
    <t>6214830709967581</t>
  </si>
  <si>
    <t>SCX00021</t>
  </si>
  <si>
    <t>刘禹豪</t>
  </si>
  <si>
    <t>物流管理</t>
  </si>
  <si>
    <t>220402199004240017</t>
  </si>
  <si>
    <t>6226097802044165</t>
  </si>
  <si>
    <t>SCX00022</t>
  </si>
  <si>
    <t>刘锦翔</t>
  </si>
  <si>
    <t>环境艺术设计</t>
  </si>
  <si>
    <t>440881200011294818</t>
  </si>
  <si>
    <t>6214830634161458</t>
  </si>
  <si>
    <t>SCX00023</t>
  </si>
  <si>
    <t>刘永松</t>
  </si>
  <si>
    <t>采矿与岩土工程</t>
  </si>
  <si>
    <t>422126197808290516</t>
  </si>
  <si>
    <t>6214866550505336</t>
  </si>
  <si>
    <t>SCX00024</t>
  </si>
  <si>
    <t>黄馨玥</t>
  </si>
  <si>
    <t>金融学</t>
  </si>
  <si>
    <t>510107200005064246</t>
  </si>
  <si>
    <t>6214851801328092</t>
  </si>
  <si>
    <t>SCX00026</t>
  </si>
  <si>
    <t>彭星翰</t>
  </si>
  <si>
    <t>信息与计算科学</t>
  </si>
  <si>
    <t>440301199811253614</t>
  </si>
  <si>
    <t>6214852005389823</t>
  </si>
  <si>
    <t>SCX00027</t>
  </si>
  <si>
    <t>何泽浩</t>
  </si>
  <si>
    <t>441202199712254015</t>
  </si>
  <si>
    <t>6214851803294128</t>
  </si>
  <si>
    <t>SCX00029</t>
  </si>
  <si>
    <t>邱永恒</t>
  </si>
  <si>
    <t>给水排水工程</t>
  </si>
  <si>
    <t>440181198709024213</t>
  </si>
  <si>
    <t>6226090201418122</t>
  </si>
  <si>
    <t>SCX00028</t>
  </si>
  <si>
    <t>安咛</t>
  </si>
  <si>
    <t>计算机多媒体技术</t>
  </si>
  <si>
    <t>231026199302125537</t>
  </si>
  <si>
    <t>6214837852001662</t>
  </si>
  <si>
    <t>SCX00032</t>
  </si>
  <si>
    <t>杨昭桦</t>
  </si>
  <si>
    <t>440508199112122012</t>
  </si>
  <si>
    <t>6212264000018455804</t>
  </si>
  <si>
    <t>SCX00031</t>
  </si>
  <si>
    <t>曾育辉</t>
  </si>
  <si>
    <t>工商管理</t>
  </si>
  <si>
    <t>350681198011020558</t>
  </si>
  <si>
    <t>6214866559216315</t>
  </si>
  <si>
    <t>SCX00037</t>
  </si>
  <si>
    <t>李艾龙</t>
  </si>
  <si>
    <t>会计学</t>
  </si>
  <si>
    <t>430422199309276816</t>
  </si>
  <si>
    <t>6214866556514589</t>
  </si>
  <si>
    <t>SCX00030</t>
  </si>
  <si>
    <t>赵旭临</t>
  </si>
  <si>
    <t>金融管理</t>
  </si>
  <si>
    <t>42010619890930841X</t>
  </si>
  <si>
    <t>6214830277747522</t>
  </si>
  <si>
    <t>SCX00036</t>
  </si>
  <si>
    <t>李钊</t>
  </si>
  <si>
    <t>应用经济学</t>
  </si>
  <si>
    <t>610303198311301210</t>
  </si>
  <si>
    <t>6214867830305588</t>
  </si>
  <si>
    <t>SCX00035</t>
  </si>
  <si>
    <t>朱适</t>
  </si>
  <si>
    <t>330302199405163219</t>
  </si>
  <si>
    <t>6214830709910375</t>
  </si>
  <si>
    <t>SCX00034</t>
  </si>
  <si>
    <t>谢同</t>
  </si>
  <si>
    <t>运动表现分析</t>
  </si>
  <si>
    <t>44068319950602471X</t>
  </si>
  <si>
    <t>6228480096759954777</t>
  </si>
  <si>
    <t>SCX00038</t>
  </si>
  <si>
    <t>刘培琳</t>
  </si>
  <si>
    <t>风景园林</t>
  </si>
  <si>
    <t>431103200105290625</t>
  </si>
  <si>
    <t>6214837418668509</t>
  </si>
  <si>
    <t>SCX00039</t>
  </si>
  <si>
    <t>程蒙</t>
  </si>
  <si>
    <t>地理信息系统</t>
  </si>
  <si>
    <t>410811198111035034</t>
  </si>
  <si>
    <t>6214857553393838</t>
  </si>
  <si>
    <t>SCX00043</t>
  </si>
  <si>
    <t>周浩</t>
  </si>
  <si>
    <t>工业设计</t>
  </si>
  <si>
    <t>330103198803281318</t>
  </si>
  <si>
    <t>6214830216052059</t>
  </si>
  <si>
    <t>SCX00041</t>
  </si>
  <si>
    <t>刘伟</t>
  </si>
  <si>
    <t>计算机信息管理</t>
  </si>
  <si>
    <t>130302198202073916</t>
  </si>
  <si>
    <t>6214830125178995</t>
  </si>
  <si>
    <t>SCX00042</t>
  </si>
  <si>
    <t>路杨</t>
  </si>
  <si>
    <t>动漫设计与制作</t>
  </si>
  <si>
    <t>420525199605210013</t>
  </si>
  <si>
    <t>6214830040556853</t>
  </si>
  <si>
    <t>SCX00045</t>
  </si>
  <si>
    <t>何洋</t>
  </si>
  <si>
    <t>动画学</t>
  </si>
  <si>
    <t>220581197802250174</t>
  </si>
  <si>
    <t>6013820100004080910</t>
  </si>
  <si>
    <t>SCX00046</t>
  </si>
  <si>
    <t>狄慕华</t>
  </si>
  <si>
    <t>英语</t>
  </si>
  <si>
    <t>430406198904091512</t>
  </si>
  <si>
    <t>6214857553194707</t>
  </si>
  <si>
    <t>SCX00047</t>
  </si>
  <si>
    <t>陈子瑄</t>
  </si>
  <si>
    <t>数字媒体技术</t>
  </si>
  <si>
    <t>42032119990324002X</t>
  </si>
  <si>
    <t>6214837196351005</t>
  </si>
  <si>
    <t>SCX00050</t>
  </si>
  <si>
    <t>陈玉莹</t>
  </si>
  <si>
    <t>光电与信息工程学院</t>
  </si>
  <si>
    <t>445121199903116122</t>
  </si>
  <si>
    <t>6216632000000691578</t>
  </si>
  <si>
    <t>SCX00051</t>
  </si>
  <si>
    <t>陈雨欣</t>
  </si>
  <si>
    <t>360124200206050324</t>
  </si>
  <si>
    <t>6214833684927687</t>
  </si>
  <si>
    <t>SCX00052</t>
  </si>
  <si>
    <t>李安迪</t>
  </si>
  <si>
    <t>计算机应用技术</t>
  </si>
  <si>
    <t>230303199806155423</t>
  </si>
  <si>
    <t>6214832505677158</t>
  </si>
  <si>
    <t>SCX00053</t>
  </si>
  <si>
    <t>陈晋儒</t>
  </si>
  <si>
    <t>视觉传达设计</t>
  </si>
  <si>
    <t>440301199804105816</t>
  </si>
  <si>
    <t>6214830050219012</t>
  </si>
  <si>
    <t>SCX00054</t>
  </si>
  <si>
    <t>李杨</t>
  </si>
  <si>
    <t>370304198305200030</t>
  </si>
  <si>
    <t>6226090106167261</t>
  </si>
  <si>
    <t>SCX00057</t>
  </si>
  <si>
    <t>钟嘉华</t>
  </si>
  <si>
    <t>实习人员</t>
  </si>
  <si>
    <t>人工智能技术应用</t>
  </si>
  <si>
    <t>440281200502190412</t>
  </si>
  <si>
    <t>6214833685475751</t>
  </si>
  <si>
    <t>SCX00058</t>
  </si>
  <si>
    <t>吴润泽</t>
  </si>
  <si>
    <t>广告学</t>
  </si>
  <si>
    <t>44050919970721561X</t>
  </si>
  <si>
    <t>6214832169922593</t>
  </si>
  <si>
    <t>SCX00059</t>
  </si>
  <si>
    <t>肖婷</t>
  </si>
  <si>
    <t>翻译</t>
  </si>
  <si>
    <t>500234199806210829</t>
  </si>
  <si>
    <t>6214831804235346</t>
  </si>
  <si>
    <t>SCX00060</t>
  </si>
  <si>
    <t>黄乐</t>
  </si>
  <si>
    <t>设计营销</t>
  </si>
  <si>
    <t>440402200305039081</t>
  </si>
  <si>
    <t>6214831803724555</t>
  </si>
  <si>
    <t>SCX00061</t>
  </si>
  <si>
    <t>骆成</t>
  </si>
  <si>
    <t>美术教育</t>
  </si>
  <si>
    <t>360426198908172034</t>
  </si>
  <si>
    <t>6214836555263686</t>
  </si>
  <si>
    <t>SCX00063</t>
  </si>
  <si>
    <t>邱瑞沣</t>
  </si>
  <si>
    <t>艺术设计</t>
  </si>
  <si>
    <t>360732199405270036</t>
  </si>
  <si>
    <t>6214838660222672</t>
  </si>
  <si>
    <t>SCX00064</t>
  </si>
  <si>
    <t>王生强</t>
  </si>
  <si>
    <t>机械设计制造及自动化</t>
  </si>
  <si>
    <t>642103198105045216</t>
  </si>
  <si>
    <t>6226096552737622</t>
  </si>
  <si>
    <t>SCX00065</t>
  </si>
  <si>
    <t>张哲</t>
  </si>
  <si>
    <t>国际经济与贸易</t>
  </si>
  <si>
    <t>61012219870501751X</t>
  </si>
  <si>
    <t>6226090292669245</t>
  </si>
  <si>
    <t>SCX00067</t>
  </si>
  <si>
    <t>王彦茗</t>
  </si>
  <si>
    <t>电子与计算机工程</t>
  </si>
  <si>
    <t>310108200202231516</t>
  </si>
  <si>
    <t>6214833687381528</t>
  </si>
  <si>
    <t>SCX00066</t>
  </si>
  <si>
    <t>方泽斌</t>
  </si>
  <si>
    <t>44050919950222001X</t>
  </si>
  <si>
    <t>6214832023245363</t>
  </si>
  <si>
    <t>SCX00069</t>
  </si>
  <si>
    <t>赵祎迪</t>
  </si>
  <si>
    <t>220602199301081519</t>
  </si>
  <si>
    <t>6214831214375492</t>
  </si>
  <si>
    <t>SCX00070</t>
  </si>
  <si>
    <t>陈碧云</t>
  </si>
  <si>
    <t>软件工程</t>
  </si>
  <si>
    <t>360281198707072145</t>
  </si>
  <si>
    <t>6214836553211547</t>
  </si>
  <si>
    <t>SCX00071</t>
  </si>
  <si>
    <t>陈志鹏</t>
  </si>
  <si>
    <t>电子科学与技术</t>
  </si>
  <si>
    <t>440582199707093912</t>
  </si>
  <si>
    <t>6214832050437123</t>
  </si>
  <si>
    <t>SCX00074</t>
  </si>
  <si>
    <t>梁浩明</t>
  </si>
  <si>
    <t>音乐学</t>
  </si>
  <si>
    <t>440782200010011119</t>
  </si>
  <si>
    <t>6214851804984065</t>
  </si>
  <si>
    <t>SCX00072</t>
  </si>
  <si>
    <t>张慧翊</t>
  </si>
  <si>
    <t>应用心理学</t>
  </si>
  <si>
    <t>370784199904270020</t>
  </si>
  <si>
    <t>6214831866715169</t>
  </si>
  <si>
    <t>SCX00073</t>
  </si>
  <si>
    <t>刘玉娴</t>
  </si>
  <si>
    <t>421081199801124782</t>
  </si>
  <si>
    <t>6214837858831823</t>
  </si>
  <si>
    <t>SCX00076</t>
  </si>
  <si>
    <t>马丹青</t>
  </si>
  <si>
    <t>电子商务技术</t>
  </si>
  <si>
    <t>440582199702260099</t>
  </si>
  <si>
    <t>6214832063512359</t>
  </si>
  <si>
    <t>SCX00077</t>
  </si>
  <si>
    <t>刘婷</t>
  </si>
  <si>
    <t>人力资源管理</t>
  </si>
  <si>
    <t>420984198610014049</t>
  </si>
  <si>
    <t>625887816517631</t>
  </si>
  <si>
    <t>SCX00075</t>
  </si>
  <si>
    <t>王凡</t>
  </si>
  <si>
    <t>362103198208300032</t>
  </si>
  <si>
    <t>6225887832374785</t>
  </si>
  <si>
    <t>SCX00078</t>
  </si>
  <si>
    <t>潘瑜</t>
  </si>
  <si>
    <t>450205198310281016</t>
  </si>
  <si>
    <t>6214866557730796</t>
  </si>
  <si>
    <t>SCX00079</t>
  </si>
  <si>
    <t>申舒婷</t>
  </si>
  <si>
    <t>信息系统</t>
  </si>
  <si>
    <t>211003199601016666</t>
  </si>
  <si>
    <t>6226080031337782</t>
  </si>
  <si>
    <t>SCX00080</t>
  </si>
  <si>
    <t>刘临风</t>
  </si>
  <si>
    <t>整合营销传播</t>
  </si>
  <si>
    <t>420602199809040010</t>
  </si>
  <si>
    <t>6214830053359963</t>
  </si>
  <si>
    <t>SCX00081</t>
  </si>
  <si>
    <t>岑兴满</t>
  </si>
  <si>
    <t>450881199504035036</t>
  </si>
  <si>
    <t>6214837853537516</t>
  </si>
  <si>
    <t>SCX00082</t>
  </si>
  <si>
    <t>韩亮</t>
  </si>
  <si>
    <t>电气工程与自动化</t>
  </si>
  <si>
    <t>320382198909130432</t>
  </si>
  <si>
    <t>6214866556479692</t>
  </si>
  <si>
    <t>SCX00083</t>
  </si>
  <si>
    <t>黄依婷</t>
  </si>
  <si>
    <t>数字媒体应用</t>
  </si>
  <si>
    <t>441581199812260027</t>
  </si>
  <si>
    <t>6214832023608339</t>
  </si>
  <si>
    <t>SCX00087</t>
  </si>
  <si>
    <t>陈小玲</t>
  </si>
  <si>
    <t>针织技术与针织服装</t>
  </si>
  <si>
    <t>511124198608204620</t>
  </si>
  <si>
    <t>6214856553012398</t>
  </si>
  <si>
    <t>SCX00084</t>
  </si>
  <si>
    <t>彭佳睿</t>
  </si>
  <si>
    <t>新闻学</t>
  </si>
  <si>
    <t>362429200311250029</t>
  </si>
  <si>
    <t>6214831106316695</t>
  </si>
  <si>
    <t>SCX00086</t>
  </si>
  <si>
    <t>赵敬亭</t>
  </si>
  <si>
    <t>会计</t>
  </si>
  <si>
    <t>632826199006220029</t>
  </si>
  <si>
    <t>6214831134217303</t>
  </si>
  <si>
    <t>SCX00085</t>
  </si>
  <si>
    <t>丘深壬</t>
  </si>
  <si>
    <t>自动化</t>
  </si>
  <si>
    <t>440306199306280437</t>
  </si>
  <si>
    <t>6214837842008827</t>
  </si>
  <si>
    <t>SCX00089</t>
  </si>
  <si>
    <t>麦汝琪</t>
  </si>
  <si>
    <t>市场营销</t>
  </si>
  <si>
    <t>440306200211143224</t>
  </si>
  <si>
    <t>6214837889289025</t>
  </si>
  <si>
    <t>SCX00088</t>
  </si>
  <si>
    <t>郑立文</t>
  </si>
  <si>
    <t>440103198110182443</t>
  </si>
  <si>
    <t>6214850206505908</t>
  </si>
  <si>
    <t>SCX00090</t>
  </si>
  <si>
    <t>杨植清</t>
  </si>
  <si>
    <t>美术</t>
  </si>
  <si>
    <t>34118119951106182X</t>
  </si>
  <si>
    <t>6214856552716569</t>
  </si>
  <si>
    <t>SCX00092</t>
  </si>
  <si>
    <t>罗凯成</t>
  </si>
  <si>
    <t>控制工程</t>
  </si>
  <si>
    <t>440305200007093032</t>
  </si>
  <si>
    <t>6214851805509192</t>
  </si>
  <si>
    <t>SCX00094</t>
  </si>
  <si>
    <t>余宏伟</t>
  </si>
  <si>
    <t>商务管理</t>
  </si>
  <si>
    <t>441802199009226912</t>
  </si>
  <si>
    <t>6214830700285595</t>
  </si>
  <si>
    <t>SCX00096</t>
  </si>
  <si>
    <t>谢琰</t>
  </si>
  <si>
    <t>材料科学与工程</t>
  </si>
  <si>
    <t>441827200202063628</t>
  </si>
  <si>
    <t>6214833691023108</t>
  </si>
  <si>
    <t>总体检查</t>
  </si>
  <si>
    <t>原人数</t>
  </si>
  <si>
    <t>6月表往月离职需要发放</t>
  </si>
  <si>
    <t>6月离职</t>
  </si>
  <si>
    <t>7月入职</t>
  </si>
  <si>
    <t>往月离职需发薪</t>
  </si>
  <si>
    <t>校招生月中换合同</t>
  </si>
  <si>
    <t>当月人数合计</t>
  </si>
  <si>
    <t>深圳创想悦动科技有限公司2026年7月离职补偿表</t>
  </si>
  <si>
    <t>组队</t>
  </si>
  <si>
    <t>成本中心</t>
  </si>
  <si>
    <t>离职补偿金</t>
  </si>
  <si>
    <t>实发补偿金</t>
  </si>
  <si>
    <t>应纳税额度</t>
  </si>
  <si>
    <t>制表：黄晓彤</t>
  </si>
  <si>
    <t>财务部：俞光武</t>
  </si>
  <si>
    <t>审批：金美娜</t>
  </si>
  <si>
    <t>审批：王茵</t>
  </si>
  <si>
    <t>审批：刘丹</t>
  </si>
  <si>
    <t>审批：赫旋</t>
  </si>
  <si>
    <t>公式有调整，含绩效部分</t>
  </si>
  <si>
    <t>基本工资+绩效工资扣款</t>
  </si>
  <si>
    <t>公司</t>
  </si>
  <si>
    <t>职位</t>
  </si>
  <si>
    <t>动态类型</t>
  </si>
  <si>
    <t>薪酬执行标准</t>
  </si>
  <si>
    <t>缺勤天数</t>
  </si>
  <si>
    <t>剩余结算年假天数</t>
  </si>
  <si>
    <t>剩余结算加班小时数</t>
  </si>
  <si>
    <t>变动日期</t>
  </si>
  <si>
    <t>工资涨幅</t>
  </si>
  <si>
    <t>变更前天数</t>
  </si>
  <si>
    <t>扣款金额</t>
  </si>
  <si>
    <t>工资卡号</t>
  </si>
  <si>
    <t>手机号码</t>
  </si>
  <si>
    <t>姓名检查1</t>
  </si>
  <si>
    <t>入职</t>
  </si>
  <si>
    <t>转正</t>
  </si>
  <si>
    <t>离职</t>
  </si>
  <si>
    <t>异动</t>
  </si>
  <si>
    <t>原薪资</t>
  </si>
  <si>
    <t>原岗位津贴</t>
  </si>
  <si>
    <t>现薪资</t>
  </si>
  <si>
    <t>现岗位津贴</t>
  </si>
  <si>
    <t>转正后薪资</t>
  </si>
  <si>
    <t>转正后岗位津贴</t>
  </si>
  <si>
    <t>补发/扣发金额</t>
  </si>
  <si>
    <t>离职补偿</t>
  </si>
  <si>
    <t>工资检查1</t>
  </si>
  <si>
    <t>校验</t>
  </si>
  <si>
    <t>岗位津贴检查1</t>
  </si>
  <si>
    <t>入离职缺勤天数</t>
  </si>
  <si>
    <t>出现次数</t>
  </si>
  <si>
    <t>营销合作部</t>
  </si>
  <si>
    <t>商务经理</t>
  </si>
  <si>
    <t>√</t>
  </si>
  <si>
    <t>品牌经理</t>
  </si>
  <si>
    <t>UI设计师</t>
  </si>
  <si>
    <t>AI研发效能工程师</t>
  </si>
  <si>
    <t>产品策划</t>
  </si>
  <si>
    <t>平台运营实习生</t>
  </si>
  <si>
    <t>待处理：</t>
  </si>
  <si>
    <t>剩余调休小时结算</t>
  </si>
  <si>
    <t>无</t>
  </si>
  <si>
    <t>剩余年假已结算</t>
  </si>
  <si>
    <t>工资表更新了</t>
  </si>
  <si>
    <t>入离职缺勤天数差异</t>
  </si>
  <si>
    <t>补偿金</t>
  </si>
  <si>
    <t>日期</t>
  </si>
  <si>
    <t>所属公司</t>
  </si>
  <si>
    <t>剩余年假天数</t>
  </si>
  <si>
    <t>剩余调休(小时)</t>
  </si>
  <si>
    <t>周末加班</t>
  </si>
  <si>
    <t>节假日加班</t>
  </si>
  <si>
    <t>平时额外加班</t>
  </si>
  <si>
    <t>年假</t>
  </si>
  <si>
    <t>事假</t>
  </si>
  <si>
    <t>病假</t>
  </si>
  <si>
    <t>婚假</t>
  </si>
  <si>
    <t>产假</t>
  </si>
  <si>
    <t>陪产假</t>
  </si>
  <si>
    <t>丧假</t>
  </si>
  <si>
    <t>育儿假</t>
  </si>
  <si>
    <t>护理假</t>
  </si>
  <si>
    <t>调休</t>
  </si>
  <si>
    <t>公干</t>
  </si>
  <si>
    <t>出差</t>
  </si>
  <si>
    <t>旷工次数</t>
  </si>
  <si>
    <t>全天未打卡(天)</t>
  </si>
  <si>
    <t>未打卡</t>
  </si>
  <si>
    <t>10分钟(次)</t>
  </si>
  <si>
    <t>10-20分钟(次)</t>
  </si>
  <si>
    <t>20-30分钟(次)</t>
  </si>
  <si>
    <t>30-60分钟(次)</t>
  </si>
  <si>
    <t>累计时间(分钟)</t>
  </si>
  <si>
    <t>成本中心 | 产品线</t>
  </si>
  <si>
    <t>员工子组</t>
  </si>
  <si>
    <t>入职本公司时间</t>
  </si>
  <si>
    <t>离职时间</t>
  </si>
  <si>
    <t>检查-考勤扣款</t>
  </si>
  <si>
    <t>检查-加班</t>
  </si>
  <si>
    <t>出勤系数</t>
  </si>
  <si>
    <t>次数</t>
  </si>
  <si>
    <t>法定节假日加班费</t>
  </si>
  <si>
    <t>2026-07-01至2026-07-31</t>
  </si>
  <si>
    <t>13699861466</t>
  </si>
  <si>
    <t>liudan@youdoogo.com</t>
  </si>
  <si>
    <t>2025-08-11</t>
  </si>
  <si>
    <t>18958823282</t>
  </si>
  <si>
    <t>liyijia@youdoogo.com</t>
  </si>
  <si>
    <t>13510424369</t>
  </si>
  <si>
    <t>~@.com</t>
  </si>
  <si>
    <t>13510601107</t>
  </si>
  <si>
    <t>yangxiaobo@youdoogo.com</t>
  </si>
  <si>
    <t>18665841772</t>
  </si>
  <si>
    <t>13714948663</t>
  </si>
  <si>
    <t>Simon@youdoogo.com</t>
  </si>
  <si>
    <t>15625232480</t>
  </si>
  <si>
    <t>18998942328</t>
  </si>
  <si>
    <t>LiuKuiTing@.com</t>
  </si>
  <si>
    <t>13714109494</t>
  </si>
  <si>
    <t>Red@youdoogo.com</t>
  </si>
  <si>
    <t>17392236208</t>
  </si>
  <si>
    <t>13751198880</t>
  </si>
  <si>
    <t>～@.com</t>
  </si>
  <si>
    <t>18926768695</t>
  </si>
  <si>
    <t>15013766049</t>
  </si>
  <si>
    <t>2025-08-13</t>
  </si>
  <si>
    <t>13602419976</t>
  </si>
  <si>
    <t>18328701198</t>
  </si>
  <si>
    <t>Cecilia@youdoogo.com</t>
  </si>
  <si>
    <t>2025-08-25</t>
  </si>
  <si>
    <t>13421811800</t>
  </si>
  <si>
    <t>Yuhoooooo@youdoogo.com</t>
  </si>
  <si>
    <t>2025-09-03</t>
  </si>
  <si>
    <t>13501513566</t>
  </si>
  <si>
    <t>allen@youdoogo.com</t>
  </si>
  <si>
    <t>13554714365</t>
  </si>
  <si>
    <t>ericliu@youdoogo.com</t>
  </si>
  <si>
    <t>2025-09-04</t>
  </si>
  <si>
    <t>15521282339</t>
  </si>
  <si>
    <t>rachel@youdoogo.com</t>
  </si>
  <si>
    <t>2025-09-11</t>
  </si>
  <si>
    <t>17512048654</t>
  </si>
  <si>
    <t>eliber@youdoogo.com</t>
  </si>
  <si>
    <t>2025-09-12</t>
  </si>
  <si>
    <t>13760209076</t>
  </si>
  <si>
    <t>zarhhe@youdoogo.com</t>
  </si>
  <si>
    <t>2025-09-15</t>
  </si>
  <si>
    <t>17620459248</t>
  </si>
  <si>
    <t>kurt@youdoogo.com</t>
  </si>
  <si>
    <t>2025-09-19</t>
  </si>
  <si>
    <t>13570383316</t>
  </si>
  <si>
    <t>nicholas@youdoogo.com</t>
  </si>
  <si>
    <t>2025-09-17</t>
  </si>
  <si>
    <t>13971230700</t>
  </si>
  <si>
    <t>x@youdoogo.com</t>
  </si>
  <si>
    <t>2025-10-09</t>
  </si>
  <si>
    <t>13926574164</t>
  </si>
  <si>
    <t>viczeng@youdoogo.com</t>
  </si>
  <si>
    <t>2025-09-22</t>
  </si>
  <si>
    <t>13535278400</t>
  </si>
  <si>
    <t xml:space="preserve"> holden@youdoogo.com</t>
  </si>
  <si>
    <t>15669189562</t>
  </si>
  <si>
    <t>atomsam@youdoogo.com</t>
  </si>
  <si>
    <t>15088597358</t>
  </si>
  <si>
    <t>julianfish@youdoogo.com</t>
  </si>
  <si>
    <t>13509681561</t>
  </si>
  <si>
    <t>ollie@youdoogo.com</t>
  </si>
  <si>
    <t>18682269762</t>
  </si>
  <si>
    <t>allenlee@youdoogo.com</t>
  </si>
  <si>
    <t>2025-10-01</t>
  </si>
  <si>
    <t>19892172950</t>
  </si>
  <si>
    <t>penny@youdoogo.com</t>
  </si>
  <si>
    <t>2025-10-22</t>
  </si>
  <si>
    <t>18028749086</t>
  </si>
  <si>
    <t>lane@youdoogo.com</t>
  </si>
  <si>
    <t>2025-11-03</t>
  </si>
  <si>
    <t>18610009743</t>
  </si>
  <si>
    <t>sunner@youdoogo.com</t>
  </si>
  <si>
    <t>2025-11-12</t>
  </si>
  <si>
    <t>19165144468</t>
  </si>
  <si>
    <t>teddy@youdoogo.com</t>
  </si>
  <si>
    <t>13738033887</t>
  </si>
  <si>
    <t>zhouhao@youdoogo.com</t>
  </si>
  <si>
    <t>2025-11-11</t>
  </si>
  <si>
    <t>13641047178</t>
  </si>
  <si>
    <t>beyounghe@youdoogo.com</t>
  </si>
  <si>
    <t>2025-12-10</t>
  </si>
  <si>
    <t>18824671512</t>
  </si>
  <si>
    <t>damon@youdoogo.com</t>
  </si>
  <si>
    <t>18372689636</t>
  </si>
  <si>
    <t>viola@youdoogo.com</t>
  </si>
  <si>
    <t>2025-12-12</t>
  </si>
  <si>
    <t>19227635951</t>
  </si>
  <si>
    <t>aziraphale@youdoogo.com</t>
  </si>
  <si>
    <t>2026-01-19</t>
  </si>
  <si>
    <t>15180152580</t>
  </si>
  <si>
    <t>claire@youdoogo.com</t>
  </si>
  <si>
    <t>2026-01-26</t>
  </si>
  <si>
    <t>17766102617</t>
  </si>
  <si>
    <t>andy@youdoogo.com</t>
  </si>
  <si>
    <t>17665310410</t>
  </si>
  <si>
    <t>pulu@youdoogo.com</t>
  </si>
  <si>
    <t>2026-02-03</t>
  </si>
  <si>
    <t>18600972486</t>
  </si>
  <si>
    <t>leon@youdoogo.com</t>
  </si>
  <si>
    <t>2026-02-27</t>
  </si>
  <si>
    <t>18200904819</t>
  </si>
  <si>
    <t>jasper@youdoogo.com</t>
  </si>
  <si>
    <t>2026-03-13</t>
  </si>
  <si>
    <t>13670411443</t>
  </si>
  <si>
    <t>rudy@youdoogo.com</t>
  </si>
  <si>
    <t>2026-03-31</t>
  </si>
  <si>
    <t>17627677467</t>
  </si>
  <si>
    <t>tanya@youdoogo.com</t>
  </si>
  <si>
    <t>15338760380</t>
  </si>
  <si>
    <t>yoyo@youdoogo.com</t>
  </si>
  <si>
    <t>2026-04-03</t>
  </si>
  <si>
    <t>18002516007</t>
  </si>
  <si>
    <t>luocheng@youdoogo.com</t>
  </si>
  <si>
    <t>2026-04-07</t>
  </si>
  <si>
    <t>15013816016</t>
  </si>
  <si>
    <t>ruifeng@youdoogo.com</t>
  </si>
  <si>
    <t>2026-04-10</t>
  </si>
  <si>
    <t>13510998762</t>
  </si>
  <si>
    <t>sam@youdoogo.com</t>
  </si>
  <si>
    <t>2026-04-14</t>
  </si>
  <si>
    <t>18591991978</t>
  </si>
  <si>
    <t>ashur@youdoogo.com</t>
  </si>
  <si>
    <t>2026-04-22</t>
  </si>
  <si>
    <t>13160846597</t>
  </si>
  <si>
    <t>Agger@youdoogo.com</t>
  </si>
  <si>
    <t>2026-05-06</t>
  </si>
  <si>
    <t>18938934054</t>
  </si>
  <si>
    <t>James@youdoogo.com</t>
  </si>
  <si>
    <t>15921093361</t>
  </si>
  <si>
    <t>Editch@youdoogo.com</t>
  </si>
  <si>
    <t>2026-05-19</t>
  </si>
  <si>
    <t>15986806046</t>
  </si>
  <si>
    <t>Vivian@youdoogo.com</t>
  </si>
  <si>
    <t>13246728435</t>
  </si>
  <si>
    <t>rocchan@youdoogo.com</t>
  </si>
  <si>
    <t>2026-05-26</t>
  </si>
  <si>
    <t>13267070536</t>
  </si>
  <si>
    <t>molly@youdoogo.com</t>
  </si>
  <si>
    <t>2026-05-28</t>
  </si>
  <si>
    <t>17820684471</t>
  </si>
  <si>
    <t>Judy@youdoogo.com</t>
  </si>
  <si>
    <t>2026-05-29</t>
  </si>
  <si>
    <t>13702401531</t>
  </si>
  <si>
    <t>Herman@youdoogo.com</t>
  </si>
  <si>
    <t>15812444319</t>
  </si>
  <si>
    <t>Daniel@youdoogo.com</t>
  </si>
  <si>
    <t>2026-06-02</t>
  </si>
  <si>
    <t>13590434394</t>
  </si>
  <si>
    <t>Luna@youdoogo.com</t>
  </si>
  <si>
    <t>18682347060</t>
  </si>
  <si>
    <t>pany@youdoogo.com</t>
  </si>
  <si>
    <t>2026-06-04</t>
  </si>
  <si>
    <t>18594245158</t>
  </si>
  <si>
    <t>Susie@youdoogo.com</t>
  </si>
  <si>
    <t>2026-06-12</t>
  </si>
  <si>
    <t>15071555585</t>
  </si>
  <si>
    <t xml:space="preserve"> ryan@youdoogo.com</t>
  </si>
  <si>
    <t>2026-06-15</t>
  </si>
  <si>
    <t>17512077299</t>
  </si>
  <si>
    <t>kevin@youdoogo.com</t>
  </si>
  <si>
    <t>13580917606</t>
  </si>
  <si>
    <t>leonhan@youdoogo.com</t>
  </si>
  <si>
    <t>2026-06-22</t>
  </si>
  <si>
    <t>19520895193</t>
  </si>
  <si>
    <t>eating@youdoogo.com</t>
  </si>
  <si>
    <t>2026-06-25</t>
  </si>
  <si>
    <t>18807960943</t>
  </si>
  <si>
    <t>Parry@youdoogo.com</t>
  </si>
  <si>
    <t>2026-06-26</t>
  </si>
  <si>
    <t>13249827257</t>
  </si>
  <si>
    <t>paul@youdoogo.com</t>
  </si>
  <si>
    <t>2026-06-29</t>
  </si>
  <si>
    <t>19396389848</t>
  </si>
  <si>
    <t>JT@youdoogo.com</t>
  </si>
  <si>
    <t>18922802027</t>
  </si>
  <si>
    <t>Amy@youdoogo.com</t>
  </si>
  <si>
    <t>13824413431</t>
  </si>
  <si>
    <t>Cathy@youdoogo.com</t>
  </si>
  <si>
    <t>2026-07-03</t>
  </si>
  <si>
    <t>18123802382</t>
  </si>
  <si>
    <t>Yuki@youdoogo.com</t>
  </si>
  <si>
    <t>2026-07-01</t>
  </si>
  <si>
    <t>13713799617</t>
  </si>
  <si>
    <t>Yangzte@youdoogo.com</t>
  </si>
  <si>
    <t>2026-07-15</t>
  </si>
  <si>
    <t>18926598212</t>
  </si>
  <si>
    <t>pauluo@youdoogo.com</t>
  </si>
  <si>
    <t>2026-07-16</t>
  </si>
  <si>
    <t>18823858181</t>
  </si>
  <si>
    <t>homway@youdoogo.com</t>
  </si>
  <si>
    <t>2026-07-27</t>
  </si>
  <si>
    <t>13723412943</t>
  </si>
  <si>
    <t>Steven@youdoogo.com</t>
  </si>
  <si>
    <t>Wind@youdoogo.com</t>
  </si>
  <si>
    <t>加班费标准</t>
  </si>
  <si>
    <t>陈燕</t>
  </si>
  <si>
    <t>检查1</t>
  </si>
  <si>
    <t>检查2</t>
  </si>
  <si>
    <t>检查3</t>
  </si>
  <si>
    <t>周末加班小时</t>
  </si>
  <si>
    <t>法定加班小时</t>
  </si>
  <si>
    <t>加班费合计</t>
  </si>
  <si>
    <t>工资表</t>
  </si>
  <si>
    <t>生日福利（已发京东购物卡）随2026年7月工资报税</t>
  </si>
  <si>
    <t>季度奖分摊</t>
  </si>
  <si>
    <t>工资</t>
  </si>
  <si>
    <t>加班费分拆</t>
  </si>
  <si>
    <t>水电费（制造类）</t>
  </si>
  <si>
    <t>水电费（数字公寓）</t>
  </si>
  <si>
    <t>考勤表名字</t>
  </si>
  <si>
    <t>名字核对</t>
  </si>
  <si>
    <t>重复项</t>
  </si>
  <si>
    <t>核对</t>
  </si>
  <si>
    <t>考勤1表名字</t>
  </si>
  <si>
    <t>2026年7月人才房房租</t>
  </si>
  <si>
    <t>2026年7月珠海发布会差旅补贴</t>
  </si>
  <si>
    <t>电脑号</t>
  </si>
  <si>
    <t>身份证号</t>
  </si>
  <si>
    <t>应收合计</t>
  </si>
  <si>
    <t>个人合计</t>
  </si>
  <si>
    <t>单位合计</t>
  </si>
  <si>
    <t>养老缴费基数</t>
  </si>
  <si>
    <t>养老个人交</t>
  </si>
  <si>
    <t>医疗个人交</t>
  </si>
  <si>
    <t>失业个人交</t>
  </si>
  <si>
    <t>缴纳公司</t>
  </si>
  <si>
    <t>检查4</t>
  </si>
  <si>
    <t>员工状态</t>
  </si>
  <si>
    <t>在职</t>
  </si>
  <si>
    <t>上月</t>
  </si>
  <si>
    <t>差异</t>
  </si>
  <si>
    <t>个人公积金账号</t>
  </si>
  <si>
    <t>缴存月份</t>
  </si>
  <si>
    <t>缴存基数</t>
  </si>
  <si>
    <t>单位缴存比例</t>
  </si>
  <si>
    <t>个人缴存比例</t>
  </si>
  <si>
    <t>缴存额</t>
  </si>
  <si>
    <t>单位缴</t>
  </si>
  <si>
    <t>个人缴</t>
  </si>
  <si>
    <t>检查5</t>
  </si>
  <si>
    <t>20192715407</t>
  </si>
  <si>
    <t>202607-202607</t>
  </si>
  <si>
    <t>20313782797</t>
  </si>
  <si>
    <t>20911334251</t>
  </si>
  <si>
    <t>21395160730</t>
  </si>
  <si>
    <t>20765375085</t>
  </si>
  <si>
    <t>20575085179</t>
  </si>
  <si>
    <t>20241668493</t>
  </si>
  <si>
    <t>21000542018</t>
  </si>
  <si>
    <t>21255134556</t>
  </si>
  <si>
    <t>20038357882</t>
  </si>
  <si>
    <t>20038642899</t>
  </si>
  <si>
    <t>20038195204</t>
  </si>
  <si>
    <t>21884261494</t>
  </si>
  <si>
    <t>20038153440</t>
  </si>
  <si>
    <t>21878866610</t>
  </si>
  <si>
    <t>20104567441</t>
  </si>
  <si>
    <t>21869109806</t>
  </si>
  <si>
    <t>20836585025</t>
  </si>
  <si>
    <t>20033908689</t>
  </si>
  <si>
    <t>21855517884</t>
  </si>
  <si>
    <t>20778601219</t>
  </si>
  <si>
    <t>20489659043</t>
  </si>
  <si>
    <t>21848892513</t>
  </si>
  <si>
    <t>20020802684</t>
  </si>
  <si>
    <t>21030630548</t>
  </si>
  <si>
    <t>21173073868</t>
  </si>
  <si>
    <t>20359610436</t>
  </si>
  <si>
    <t>21430641518</t>
  </si>
  <si>
    <t>20087131527</t>
  </si>
  <si>
    <t>21322222256</t>
  </si>
  <si>
    <t>20043506399</t>
  </si>
  <si>
    <t>22309496031</t>
  </si>
  <si>
    <t>20295790232</t>
  </si>
  <si>
    <t>21621954860</t>
  </si>
  <si>
    <t>20940528852</t>
  </si>
  <si>
    <t>21428843046</t>
  </si>
  <si>
    <t>21758305530</t>
  </si>
  <si>
    <t>20225384389</t>
  </si>
  <si>
    <t>22292749760</t>
  </si>
  <si>
    <t>22292749889</t>
  </si>
  <si>
    <t>21597506475</t>
  </si>
  <si>
    <t>20971853188</t>
  </si>
  <si>
    <t>21583822825</t>
  </si>
  <si>
    <t>22281020356</t>
  </si>
  <si>
    <t>22281020485</t>
  </si>
  <si>
    <t>22281020227</t>
  </si>
  <si>
    <t>21973250306</t>
  </si>
  <si>
    <t>21726121167</t>
  </si>
  <si>
    <t>22272983968</t>
  </si>
  <si>
    <t>22165698269</t>
  </si>
  <si>
    <t>21951627588</t>
  </si>
  <si>
    <t>21943641503</t>
  </si>
  <si>
    <t>22266904435</t>
  </si>
  <si>
    <t>22272698119</t>
  </si>
  <si>
    <t>21926580140</t>
  </si>
  <si>
    <t>22143878504</t>
  </si>
  <si>
    <t>21926830899</t>
  </si>
  <si>
    <t>22242162522</t>
  </si>
  <si>
    <t>22136133493</t>
  </si>
  <si>
    <t>22024171479</t>
  </si>
  <si>
    <t>22028382249</t>
  </si>
  <si>
    <t>22028382378</t>
  </si>
  <si>
    <t>22033836722</t>
  </si>
  <si>
    <t>22119293312</t>
  </si>
  <si>
    <t>22190808903</t>
  </si>
  <si>
    <t>22357379935</t>
  </si>
  <si>
    <t>22357321124</t>
  </si>
  <si>
    <t>22345685718</t>
  </si>
  <si>
    <t>22345685847</t>
  </si>
  <si>
    <t>22335913492</t>
  </si>
  <si>
    <t>22324073558</t>
  </si>
  <si>
    <t>累计3岁以下婴幼儿照护</t>
  </si>
  <si>
    <t>工资-子女教育</t>
  </si>
  <si>
    <t>已交个人所得税</t>
  </si>
  <si>
    <t>月份</t>
  </si>
  <si>
    <t>公司更改校验</t>
  </si>
  <si>
    <t>SCX00009</t>
  </si>
  <si>
    <t>刘文峰</t>
  </si>
  <si>
    <t>SCX00010</t>
  </si>
  <si>
    <t>冯金玉</t>
  </si>
  <si>
    <t>SCX00011</t>
  </si>
  <si>
    <t>孙志伟</t>
  </si>
  <si>
    <t>SCX00013</t>
  </si>
  <si>
    <t>刘玉玺</t>
  </si>
  <si>
    <t>SCX00025</t>
  </si>
  <si>
    <t>吴智健</t>
  </si>
  <si>
    <t>SCX00033</t>
  </si>
  <si>
    <t>左俊豪</t>
  </si>
  <si>
    <t>SCX00040</t>
  </si>
  <si>
    <t>侯诗凡</t>
  </si>
  <si>
    <t>SCX00044</t>
  </si>
  <si>
    <t>焦栎潼</t>
  </si>
  <si>
    <t>SCX00049</t>
  </si>
  <si>
    <t>姚校</t>
  </si>
  <si>
    <t>SCX00055</t>
  </si>
  <si>
    <t>王强强</t>
  </si>
  <si>
    <t>SCX00056</t>
  </si>
  <si>
    <t>汤淑芸</t>
  </si>
  <si>
    <t>SCX00062</t>
  </si>
  <si>
    <t>SCX00068</t>
  </si>
  <si>
    <t>邱丽思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</si>
</sst>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.00_ "/>
    <numFmt numFmtId="178" formatCode="_-* #,##0.00\ _€_-;\-* #,##0.00\ _€_-;_-* &quot;-&quot;??\ _€_-;_-@_-"/>
    <numFmt numFmtId="179" formatCode="_(* #,##0.00_);_(* \(#,##0.00\);_(* &quot;-&quot;??_);_(@_)"/>
    <numFmt numFmtId="180" formatCode="_(* #,##0_);_(* \(#,##0\);_(* &quot;-&quot;_);_(@_)"/>
    <numFmt numFmtId="181" formatCode="#,##0;\(#,##0\)"/>
    <numFmt numFmtId="182" formatCode="&quot;?#,##0;\(&quot;&quot;?&quot;#,##0\)"/>
    <numFmt numFmtId="183" formatCode="\$#,##0.00;\(\$#,##0.00\)"/>
    <numFmt numFmtId="184" formatCode="\$#,##0;\(\$#,##0\)"/>
    <numFmt numFmtId="185" formatCode="_ \¥* #,##0_ ;_ \¥* \-#,##0_ ;_ \¥* &quot;-&quot;_ ;_ @_ "/>
    <numFmt numFmtId="186" formatCode="_ \¥* #,##0.00_ ;_ \¥* \-#,##0.00_ ;_ \¥* &quot;-&quot;??_ ;_ @_ "/>
    <numFmt numFmtId="187" formatCode="_-* #,##0_-;&quot;\&quot;\-* #,##0_-;_-* &quot;-&quot;_-;_-@_-"/>
    <numFmt numFmtId="188" formatCode="_-* #,##0.00_-;&quot;\&quot;\-* #,##0.00_-;_-* &quot;-&quot;??_-;_-@_-"/>
    <numFmt numFmtId="189" formatCode="_-&quot;\&quot;* #,##0_-;&quot;\&quot;\-&quot;\&quot;* #,##0_-;_-&quot;\&quot;* &quot;-&quot;_-;_-@_-"/>
    <numFmt numFmtId="190" formatCode="_-&quot;\&quot;* #,##0.00_-;&quot;\&quot;\-&quot;\&quot;* #,##0.00_-;_-&quot;\&quot;* &quot;-&quot;??_-;_-@_-"/>
    <numFmt numFmtId="191" formatCode="yyyy&quot;年&quot;m&quot;月&quot;;@"/>
    <numFmt numFmtId="192" formatCode="_ &quot;￡¤&quot;* #,##0_ ;_ &quot;￡¤&quot;* \-#,##0_ ;_ &quot;￡¤&quot;* &quot;-&quot;_ ;_ @_ "/>
    <numFmt numFmtId="193" formatCode="#,##0.00_ "/>
    <numFmt numFmtId="194" formatCode="#,##0&quot;￡¤&quot;;[Red]\-#,##0&quot;￡¤&quot;"/>
    <numFmt numFmtId="195" formatCode="#,##0.00&quot;￡¤&quot;;[Red]\-#,##0.00&quot;￡¤&quot;"/>
    <numFmt numFmtId="196" formatCode="[$-10804]#,##0.000"/>
    <numFmt numFmtId="197" formatCode="yyyy/m/d;@"/>
  </numFmts>
  <fonts count="102">
    <font>
      <sz val="10"/>
      <name val="Arial"/>
      <charset val="134"/>
    </font>
    <font>
      <sz val="10"/>
      <name val="微软雅黑"/>
      <charset val="134"/>
    </font>
    <font>
      <sz val="10"/>
      <color indexed="8"/>
      <name val="微软雅黑"/>
      <charset val="134"/>
    </font>
    <font>
      <sz val="10"/>
      <color theme="1"/>
      <name val="微软雅黑"/>
      <charset val="134"/>
    </font>
    <font>
      <sz val="9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微软雅黑"/>
      <charset val="134"/>
    </font>
    <font>
      <sz val="10"/>
      <color indexed="10"/>
      <name val="微软雅黑"/>
      <charset val="134"/>
    </font>
    <font>
      <b/>
      <sz val="10"/>
      <name val="微软雅黑"/>
      <charset val="134"/>
    </font>
    <font>
      <sz val="15"/>
      <color rgb="FF000000"/>
      <name val="微软雅黑"/>
      <charset val="134"/>
    </font>
    <font>
      <b/>
      <sz val="12"/>
      <color indexed="8"/>
      <name val="微软雅黑"/>
      <charset val="134"/>
    </font>
    <font>
      <b/>
      <sz val="12"/>
      <name val="微软雅黑"/>
      <charset val="134"/>
    </font>
    <font>
      <sz val="12"/>
      <name val="微软雅黑"/>
      <charset val="134"/>
    </font>
    <font>
      <u/>
      <sz val="10"/>
      <color indexed="12"/>
      <name val="微软雅黑"/>
      <charset val="134"/>
    </font>
    <font>
      <b/>
      <sz val="10"/>
      <color indexed="8"/>
      <name val="微软雅黑"/>
      <charset val="134"/>
    </font>
    <font>
      <sz val="12"/>
      <color indexed="8"/>
      <name val="微软雅黑"/>
      <charset val="134"/>
    </font>
    <font>
      <b/>
      <sz val="20"/>
      <name val="微软雅黑"/>
      <charset val="134"/>
    </font>
    <font>
      <sz val="11"/>
      <name val="微软雅黑"/>
      <charset val="134"/>
    </font>
    <font>
      <b/>
      <sz val="14"/>
      <color indexed="8"/>
      <name val="微软雅黑"/>
      <charset val="134"/>
    </font>
    <font>
      <sz val="11"/>
      <color indexed="8"/>
      <name val="微软雅黑"/>
      <charset val="134"/>
    </font>
    <font>
      <sz val="11"/>
      <color theme="1"/>
      <name val="宋体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  <font>
      <sz val="12"/>
      <name val="宋体"/>
      <charset val="134"/>
    </font>
    <font>
      <sz val="10"/>
      <name val="Helv"/>
      <charset val="134"/>
    </font>
    <font>
      <sz val="11"/>
      <color indexed="8"/>
      <name val="맑은 고딕"/>
      <charset val="134"/>
    </font>
    <font>
      <sz val="11"/>
      <color indexed="8"/>
      <name val="宋体"/>
      <charset val="134"/>
    </font>
    <font>
      <u/>
      <sz val="10"/>
      <color indexed="12"/>
      <name val="MS Sans Serif"/>
      <charset val="134"/>
    </font>
    <font>
      <sz val="12"/>
      <name val="??ì?"/>
      <charset val="134"/>
    </font>
    <font>
      <sz val="11"/>
      <color indexed="9"/>
      <name val="宋体"/>
      <charset val="134"/>
    </font>
    <font>
      <sz val="10"/>
      <name val="Times New Roman"/>
      <charset val="134"/>
    </font>
    <font>
      <b/>
      <sz val="12"/>
      <name val="Arial"/>
      <charset val="134"/>
    </font>
    <font>
      <sz val="12"/>
      <color indexed="8"/>
      <name val="宋体"/>
      <charset val="134"/>
    </font>
    <font>
      <sz val="12"/>
      <name val="ùt??"/>
      <charset val="134"/>
    </font>
    <font>
      <u/>
      <sz val="10"/>
      <color indexed="14"/>
      <name val="MS Sans Serif"/>
      <charset val="134"/>
    </font>
    <font>
      <sz val="12"/>
      <name val="冼极"/>
      <charset val="134"/>
    </font>
    <font>
      <sz val="11"/>
      <color indexed="9"/>
      <name val="맑은 고딕"/>
      <charset val="134"/>
    </font>
    <font>
      <b/>
      <sz val="15"/>
      <color indexed="56"/>
      <name val="宋体"/>
      <charset val="134"/>
    </font>
    <font>
      <b/>
      <sz val="15"/>
      <color indexed="62"/>
      <name val="宋体"/>
      <charset val="134"/>
    </font>
    <font>
      <b/>
      <sz val="15"/>
      <color indexed="54"/>
      <name val="宋体"/>
      <charset val="134"/>
    </font>
    <font>
      <b/>
      <sz val="18"/>
      <color indexed="56"/>
      <name val="宋体"/>
      <charset val="134"/>
    </font>
    <font>
      <b/>
      <sz val="13"/>
      <color indexed="56"/>
      <name val="宋体"/>
      <charset val="134"/>
    </font>
    <font>
      <b/>
      <sz val="13"/>
      <color indexed="62"/>
      <name val="宋体"/>
      <charset val="134"/>
    </font>
    <font>
      <b/>
      <sz val="13"/>
      <color indexed="54"/>
      <name val="宋体"/>
      <charset val="134"/>
    </font>
    <font>
      <b/>
      <sz val="11"/>
      <color indexed="56"/>
      <name val="宋体"/>
      <charset val="134"/>
    </font>
    <font>
      <b/>
      <sz val="11"/>
      <color indexed="62"/>
      <name val="宋体"/>
      <charset val="134"/>
    </font>
    <font>
      <b/>
      <sz val="11"/>
      <color indexed="54"/>
      <name val="宋体"/>
      <charset val="134"/>
    </font>
    <font>
      <b/>
      <sz val="18"/>
      <color indexed="62"/>
      <name val="宋体"/>
      <charset val="134"/>
    </font>
    <font>
      <b/>
      <sz val="18"/>
      <color indexed="54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16"/>
      <name val="宋体"/>
      <charset val="134"/>
    </font>
    <font>
      <sz val="11"/>
      <color indexed="59"/>
      <name val="宋体"/>
      <charset val="134"/>
    </font>
    <font>
      <sz val="10"/>
      <color indexed="20"/>
      <name val="宋体"/>
      <charset val="134"/>
    </font>
    <font>
      <sz val="10"/>
      <color indexed="8"/>
      <name val="宋体"/>
      <charset val="134"/>
    </font>
    <font>
      <sz val="11"/>
      <name val="Calibri"/>
      <charset val="134"/>
    </font>
    <font>
      <sz val="10"/>
      <color indexed="8"/>
      <name val="Arial"/>
      <charset val="134"/>
    </font>
    <font>
      <sz val="11"/>
      <color indexed="8"/>
      <name val="Calibri"/>
      <charset val="134"/>
    </font>
    <font>
      <sz val="11"/>
      <color indexed="8"/>
      <name val="等线"/>
      <charset val="134"/>
    </font>
    <font>
      <sz val="9"/>
      <color indexed="8"/>
      <name val="宋体"/>
      <charset val="134"/>
    </font>
    <font>
      <u/>
      <sz val="9"/>
      <color indexed="12"/>
      <name val="宋体"/>
      <charset val="134"/>
    </font>
    <font>
      <u/>
      <sz val="11"/>
      <color indexed="12"/>
      <name val="Calibri"/>
      <charset val="134"/>
    </font>
    <font>
      <u/>
      <sz val="11"/>
      <color indexed="12"/>
      <name val="宋体"/>
      <charset val="134"/>
    </font>
    <font>
      <u/>
      <sz val="12"/>
      <color indexed="12"/>
      <name val="宋体"/>
      <charset val="134"/>
    </font>
    <font>
      <u/>
      <sz val="12"/>
      <color indexed="12"/>
      <name val="Times New Roman"/>
      <charset val="134"/>
    </font>
    <font>
      <u/>
      <sz val="11"/>
      <color indexed="30"/>
      <name val="等线"/>
      <charset val="134"/>
    </font>
    <font>
      <sz val="11"/>
      <color indexed="17"/>
      <name val="宋体"/>
      <charset val="134"/>
    </font>
    <font>
      <sz val="10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53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53"/>
      <name val="宋体"/>
      <charset val="134"/>
    </font>
    <font>
      <sz val="12"/>
      <name val="官帕眉"/>
      <charset val="134"/>
    </font>
    <font>
      <sz val="11"/>
      <color indexed="19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9"/>
      <name val="宋体"/>
      <charset val="134"/>
    </font>
    <font>
      <sz val="12"/>
      <name val="新細明體"/>
      <charset val="134"/>
    </font>
    <font>
      <sz val="10"/>
      <color indexed="8"/>
      <name val="ARIAL"/>
      <charset val="1"/>
    </font>
    <font>
      <sz val="9"/>
      <name val="宋体"/>
      <charset val="134"/>
    </font>
  </fonts>
  <fills count="72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76790673543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792321543015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lightGray">
        <fgColor rgb="FFFFFFFF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7381511886959"/>
        <bgColor indexed="64"/>
      </patternFill>
    </fill>
    <fill>
      <patternFill patternType="solid">
        <fgColor theme="0" tint="-0.14731284524063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4"/>
        <bgColor indexed="64"/>
      </patternFill>
    </fill>
  </fills>
  <borders count="4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rgb="FF9B9B9B"/>
      </right>
      <top style="dotted">
        <color rgb="FF9B9B9B"/>
      </top>
      <bottom style="dotted">
        <color rgb="FF9B9B9B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auto="1"/>
      </bottom>
      <diagonal/>
    </border>
    <border>
      <left style="hair">
        <color indexed="8"/>
      </left>
      <right style="hair">
        <color indexed="8"/>
      </right>
      <top style="medium">
        <color auto="1"/>
      </top>
      <bottom/>
      <diagonal/>
    </border>
    <border>
      <left style="hair">
        <color indexed="8"/>
      </left>
      <right style="hair">
        <color indexed="8"/>
      </right>
      <top/>
      <bottom style="medium">
        <color auto="1"/>
      </bottom>
      <diagonal/>
    </border>
    <border>
      <left style="hair">
        <color indexed="8"/>
      </left>
      <right style="hair">
        <color indexed="8"/>
      </right>
      <top/>
      <bottom style="medium">
        <color rgb="FF000000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07">
    <xf numFmtId="176" fontId="0" fillId="0" borderId="0">
      <alignment vertical="top"/>
    </xf>
    <xf numFmtId="43" fontId="0" fillId="0" borderId="0" applyFont="0" applyFill="0" applyBorder="0" applyAlignment="0" applyProtection="0">
      <alignment vertical="top"/>
    </xf>
    <xf numFmtId="44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center"/>
    </xf>
    <xf numFmtId="0" fontId="20" fillId="24" borderId="19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5" borderId="22" applyNumberFormat="0" applyAlignment="0" applyProtection="0">
      <alignment vertical="center"/>
    </xf>
    <xf numFmtId="0" fontId="30" fillId="26" borderId="23" applyNumberFormat="0" applyAlignment="0" applyProtection="0">
      <alignment vertical="center"/>
    </xf>
    <xf numFmtId="0" fontId="31" fillId="26" borderId="22" applyNumberFormat="0" applyAlignment="0" applyProtection="0">
      <alignment vertical="center"/>
    </xf>
    <xf numFmtId="0" fontId="32" fillId="27" borderId="24" applyNumberFormat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4" fillId="0" borderId="26" applyNumberFormat="0" applyFill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176" fontId="40" fillId="0" borderId="0">
      <alignment vertical="center"/>
    </xf>
    <xf numFmtId="177" fontId="0" fillId="0" borderId="0">
      <alignment vertical="center"/>
    </xf>
    <xf numFmtId="176" fontId="0" fillId="0" borderId="0" applyNumberFormat="0" applyFill="0" applyBorder="0" applyAlignment="0" applyProtection="0">
      <alignment vertical="center"/>
    </xf>
    <xf numFmtId="176" fontId="41" fillId="0" borderId="0" applyProtection="0">
      <alignment vertical="center"/>
    </xf>
    <xf numFmtId="176" fontId="42" fillId="0" borderId="0">
      <alignment vertical="center"/>
    </xf>
    <xf numFmtId="176" fontId="41" fillId="0" borderId="0" applyBorder="0">
      <alignment vertical="center"/>
    </xf>
    <xf numFmtId="176" fontId="41" fillId="0" borderId="0" applyBorder="0">
      <alignment vertical="center"/>
    </xf>
    <xf numFmtId="176" fontId="0" fillId="0" borderId="0">
      <alignment vertical="center"/>
    </xf>
    <xf numFmtId="176" fontId="43" fillId="52" borderId="0" applyNumberFormat="0" applyBorder="0" applyAlignment="0" applyProtection="0">
      <alignment vertical="center"/>
    </xf>
    <xf numFmtId="176" fontId="44" fillId="52" borderId="0" applyNumberFormat="0" applyBorder="0" applyAlignment="0" applyProtection="0">
      <alignment vertical="center"/>
    </xf>
    <xf numFmtId="176" fontId="44" fillId="53" borderId="0" applyNumberFormat="0" applyBorder="0" applyAlignment="0" applyProtection="0">
      <alignment vertical="center"/>
    </xf>
    <xf numFmtId="176" fontId="44" fillId="54" borderId="0" applyNumberFormat="0" applyBorder="0" applyAlignment="0" applyProtection="0">
      <alignment vertical="center"/>
    </xf>
    <xf numFmtId="176" fontId="44" fillId="11" borderId="0" applyNumberFormat="0" applyBorder="0" applyAlignment="0" applyProtection="0">
      <alignment vertical="center"/>
    </xf>
    <xf numFmtId="176" fontId="44" fillId="55" borderId="0" applyNumberFormat="0" applyBorder="0" applyAlignment="0" applyProtection="0">
      <alignment vertical="center"/>
    </xf>
    <xf numFmtId="176" fontId="44" fillId="23" borderId="0" applyNumberFormat="0" applyBorder="0" applyAlignment="0" applyProtection="0">
      <alignment vertical="center"/>
    </xf>
    <xf numFmtId="176" fontId="44" fillId="6" borderId="0" applyNumberFormat="0" applyBorder="0" applyAlignment="0" applyProtection="0">
      <alignment vertical="center"/>
    </xf>
    <xf numFmtId="176" fontId="44" fillId="22" borderId="0" applyNumberFormat="0" applyBorder="0" applyAlignment="0" applyProtection="0">
      <alignment vertical="center"/>
    </xf>
    <xf numFmtId="176" fontId="44" fillId="10" borderId="0" applyNumberFormat="0" applyBorder="0" applyAlignment="0" applyProtection="0">
      <alignment vertical="center"/>
    </xf>
    <xf numFmtId="176" fontId="45" fillId="0" borderId="0" applyNumberFormat="0" applyFill="0" applyBorder="0" applyAlignment="0" applyProtection="0">
      <alignment vertical="center"/>
    </xf>
    <xf numFmtId="176" fontId="46" fillId="0" borderId="0">
      <alignment vertical="center"/>
    </xf>
    <xf numFmtId="176" fontId="44" fillId="5" borderId="0" applyNumberFormat="0" applyBorder="0" applyAlignment="0" applyProtection="0">
      <alignment vertical="center"/>
    </xf>
    <xf numFmtId="176" fontId="44" fillId="56" borderId="0" applyNumberFormat="0" applyBorder="0" applyAlignment="0" applyProtection="0">
      <alignment vertical="center"/>
    </xf>
    <xf numFmtId="176" fontId="44" fillId="57" borderId="0" applyNumberFormat="0" applyBorder="0" applyAlignment="0" applyProtection="0">
      <alignment vertical="center"/>
    </xf>
    <xf numFmtId="176" fontId="44" fillId="21" borderId="0" applyNumberFormat="0" applyBorder="0" applyAlignment="0" applyProtection="0">
      <alignment vertical="center"/>
    </xf>
    <xf numFmtId="176" fontId="44" fillId="58" borderId="0" applyNumberFormat="0" applyBorder="0" applyAlignment="0" applyProtection="0">
      <alignment vertical="center"/>
    </xf>
    <xf numFmtId="176" fontId="47" fillId="59" borderId="0" applyNumberFormat="0" applyBorder="0" applyAlignment="0" applyProtection="0">
      <alignment vertical="center"/>
    </xf>
    <xf numFmtId="176" fontId="47" fillId="5" borderId="0" applyNumberFormat="0" applyBorder="0" applyAlignment="0" applyProtection="0">
      <alignment vertical="center"/>
    </xf>
    <xf numFmtId="176" fontId="47" fillId="11" borderId="0" applyNumberFormat="0" applyBorder="0" applyAlignment="0" applyProtection="0">
      <alignment vertical="center"/>
    </xf>
    <xf numFmtId="176" fontId="47" fillId="10" borderId="0" applyNumberFormat="0" applyBorder="0" applyAlignment="0" applyProtection="0">
      <alignment vertical="center"/>
    </xf>
    <xf numFmtId="176" fontId="47" fillId="56" borderId="0" applyNumberFormat="0" applyBorder="0" applyAlignment="0" applyProtection="0">
      <alignment vertical="center"/>
    </xf>
    <xf numFmtId="176" fontId="47" fillId="23" borderId="0" applyNumberFormat="0" applyBorder="0" applyAlignment="0" applyProtection="0">
      <alignment vertical="center"/>
    </xf>
    <xf numFmtId="176" fontId="47" fillId="57" borderId="0" applyNumberFormat="0" applyBorder="0" applyAlignment="0" applyProtection="0">
      <alignment vertical="center"/>
    </xf>
    <xf numFmtId="176" fontId="47" fillId="60" borderId="0" applyNumberFormat="0" applyBorder="0" applyAlignment="0" applyProtection="0">
      <alignment vertical="center"/>
    </xf>
    <xf numFmtId="176" fontId="47" fillId="22" borderId="0" applyNumberFormat="0" applyBorder="0" applyAlignment="0" applyProtection="0">
      <alignment vertical="center"/>
    </xf>
    <xf numFmtId="176" fontId="47" fillId="61" borderId="0" applyNumberFormat="0" applyBorder="0" applyAlignment="0" applyProtection="0">
      <alignment vertical="center"/>
    </xf>
    <xf numFmtId="176" fontId="47" fillId="62" borderId="0" applyNumberFormat="0" applyBorder="0" applyAlignment="0" applyProtection="0">
      <alignment vertical="center"/>
    </xf>
    <xf numFmtId="176" fontId="47" fillId="63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1" fontId="48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82" fontId="48" fillId="0" borderId="0" applyProtection="0">
      <alignment vertical="center"/>
    </xf>
    <xf numFmtId="183" fontId="48" fillId="0" borderId="0">
      <alignment vertical="center"/>
    </xf>
    <xf numFmtId="184" fontId="48" fillId="0" borderId="0">
      <alignment vertical="center"/>
    </xf>
    <xf numFmtId="176" fontId="49" fillId="0" borderId="27" applyNumberFormat="0" applyAlignment="0" applyProtection="0">
      <alignment horizontal="left" vertical="center"/>
    </xf>
    <xf numFmtId="176" fontId="49" fillId="0" borderId="28">
      <alignment horizontal="left" vertical="center"/>
    </xf>
    <xf numFmtId="176" fontId="0" fillId="0" borderId="0"/>
    <xf numFmtId="176" fontId="50" fillId="0" borderId="0">
      <alignment vertical="center"/>
    </xf>
    <xf numFmtId="176" fontId="41" fillId="0" borderId="0" applyNumberFormat="0" applyFill="0" applyBorder="0" applyAlignment="0" applyProtection="0">
      <alignment vertical="center"/>
    </xf>
    <xf numFmtId="176" fontId="48" fillId="0" borderId="0">
      <alignment vertical="center"/>
    </xf>
    <xf numFmtId="176" fontId="51" fillId="0" borderId="0">
      <alignment vertical="center"/>
    </xf>
    <xf numFmtId="176" fontId="52" fillId="0" borderId="0" applyNumberFormat="0" applyFill="0" applyBorder="0" applyAlignment="0" applyProtection="0">
      <alignment vertical="center"/>
    </xf>
    <xf numFmtId="49" fontId="41" fillId="0" borderId="2">
      <alignment vertical="center"/>
    </xf>
    <xf numFmtId="176" fontId="53" fillId="0" borderId="0">
      <alignment vertical="center"/>
    </xf>
    <xf numFmtId="176" fontId="54" fillId="64" borderId="0" applyNumberFormat="0" applyBorder="0" applyAlignment="0" applyProtection="0">
      <alignment vertical="center"/>
    </xf>
    <xf numFmtId="176" fontId="54" fillId="65" borderId="0" applyNumberFormat="0" applyBorder="0" applyAlignment="0" applyProtection="0">
      <alignment vertical="center"/>
    </xf>
    <xf numFmtId="176" fontId="54" fillId="60" borderId="0" applyNumberFormat="0" applyBorder="0" applyAlignment="0" applyProtection="0">
      <alignment vertical="center"/>
    </xf>
    <xf numFmtId="176" fontId="55" fillId="0" borderId="29" applyNumberFormat="0" applyFill="0" applyAlignment="0" applyProtection="0">
      <alignment vertical="center"/>
    </xf>
    <xf numFmtId="176" fontId="56" fillId="0" borderId="30" applyNumberFormat="0" applyFill="0" applyAlignment="0" applyProtection="0">
      <alignment vertical="center"/>
    </xf>
    <xf numFmtId="176" fontId="57" fillId="0" borderId="31" applyNumberFormat="0" applyFill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59" fillId="0" borderId="32" applyNumberFormat="0" applyFill="0" applyAlignment="0" applyProtection="0">
      <alignment vertical="center"/>
    </xf>
    <xf numFmtId="176" fontId="60" fillId="0" borderId="30" applyNumberFormat="0" applyFill="0" applyAlignment="0" applyProtection="0">
      <alignment vertical="center"/>
    </xf>
    <xf numFmtId="176" fontId="61" fillId="0" borderId="31" applyNumberFormat="0" applyFill="0" applyAlignment="0" applyProtection="0">
      <alignment vertical="center"/>
    </xf>
    <xf numFmtId="176" fontId="62" fillId="0" borderId="33" applyNumberFormat="0" applyFill="0" applyAlignment="0" applyProtection="0">
      <alignment vertical="center"/>
    </xf>
    <xf numFmtId="176" fontId="63" fillId="0" borderId="34" applyNumberFormat="0" applyFill="0" applyAlignment="0" applyProtection="0">
      <alignment vertical="center"/>
    </xf>
    <xf numFmtId="176" fontId="64" fillId="0" borderId="34" applyNumberFormat="0" applyFill="0" applyAlignment="0" applyProtection="0">
      <alignment vertical="center"/>
    </xf>
    <xf numFmtId="176" fontId="62" fillId="0" borderId="0" applyNumberFormat="0" applyFill="0" applyBorder="0" applyAlignment="0" applyProtection="0">
      <alignment vertical="center"/>
    </xf>
    <xf numFmtId="176" fontId="63" fillId="0" borderId="0" applyNumberFormat="0" applyFill="0" applyBorder="0" applyAlignment="0" applyProtection="0">
      <alignment vertical="center"/>
    </xf>
    <xf numFmtId="176" fontId="64" fillId="0" borderId="0" applyNumberFormat="0" applyFill="0" applyBorder="0" applyAlignment="0" applyProtection="0">
      <alignment vertical="center"/>
    </xf>
    <xf numFmtId="176" fontId="65" fillId="0" borderId="0" applyNumberFormat="0" applyFill="0" applyBorder="0" applyAlignment="0" applyProtection="0">
      <alignment vertical="center"/>
    </xf>
    <xf numFmtId="176" fontId="66" fillId="0" borderId="0" applyNumberFormat="0" applyFill="0" applyBorder="0" applyAlignment="0" applyProtection="0">
      <alignment vertical="center"/>
    </xf>
    <xf numFmtId="176" fontId="67" fillId="54" borderId="0" applyNumberFormat="0" applyBorder="0" applyAlignment="0" applyProtection="0">
      <alignment vertical="center"/>
    </xf>
    <xf numFmtId="176" fontId="68" fillId="11" borderId="0" applyNumberFormat="0" applyBorder="0" applyAlignment="0" applyProtection="0">
      <alignment vertical="center"/>
    </xf>
    <xf numFmtId="176" fontId="69" fillId="54" borderId="0" applyNumberFormat="0" applyBorder="0" applyAlignment="0" applyProtection="0">
      <alignment vertical="center"/>
    </xf>
    <xf numFmtId="176" fontId="70" fillId="11" borderId="0" applyNumberFormat="0" applyBorder="0" applyAlignment="0" applyProtection="0">
      <alignment vertical="center"/>
    </xf>
    <xf numFmtId="176" fontId="71" fillId="54" borderId="0" applyNumberFormat="0" applyBorder="0" applyAlignment="0" applyProtection="0">
      <alignment vertical="center"/>
    </xf>
    <xf numFmtId="176" fontId="44" fillId="0" borderId="0">
      <alignment vertical="center"/>
    </xf>
    <xf numFmtId="176" fontId="44" fillId="0" borderId="0" applyNumberFormat="0" applyFill="0" applyBorder="0" applyProtection="0">
      <alignment vertical="center"/>
    </xf>
    <xf numFmtId="176" fontId="72" fillId="0" borderId="0">
      <alignment vertical="center"/>
    </xf>
    <xf numFmtId="176" fontId="50" fillId="0" borderId="0" applyNumberFormat="0" applyFill="0" applyBorder="0" applyProtection="0">
      <alignment vertical="center"/>
    </xf>
    <xf numFmtId="176" fontId="0" fillId="0" borderId="0" applyNumberFormat="0" applyFont="0" applyFill="0" applyBorder="0" applyAlignment="0" applyProtection="0">
      <alignment vertical="center"/>
    </xf>
    <xf numFmtId="176" fontId="73" fillId="0" borderId="0">
      <alignment vertical="center"/>
    </xf>
    <xf numFmtId="176" fontId="74" fillId="0" borderId="0">
      <alignment vertical="top"/>
    </xf>
    <xf numFmtId="176" fontId="74" fillId="0" borderId="0">
      <alignment vertical="top"/>
    </xf>
    <xf numFmtId="176" fontId="0" fillId="0" borderId="0" applyFont="0">
      <alignment vertical="center"/>
    </xf>
    <xf numFmtId="176" fontId="75" fillId="0" borderId="0">
      <alignment vertical="center"/>
    </xf>
    <xf numFmtId="176" fontId="76" fillId="0" borderId="0">
      <alignment vertical="center"/>
    </xf>
    <xf numFmtId="176" fontId="77" fillId="0" borderId="0">
      <alignment vertical="center"/>
    </xf>
    <xf numFmtId="176" fontId="41" fillId="0" borderId="0">
      <alignment horizontal="justify" vertical="justify" textRotation="127" wrapText="1"/>
      <protection hidden="1"/>
    </xf>
    <xf numFmtId="176" fontId="73" fillId="0" borderId="0"/>
    <xf numFmtId="176" fontId="0" fillId="0" borderId="0" applyAlignment="0"/>
    <xf numFmtId="176" fontId="73" fillId="0" borderId="0" applyFill="0" applyBorder="0"/>
    <xf numFmtId="0" fontId="73" fillId="0" borderId="0"/>
    <xf numFmtId="176" fontId="41" fillId="0" borderId="0">
      <alignment vertical="center"/>
    </xf>
    <xf numFmtId="176" fontId="41" fillId="0" borderId="0">
      <alignment vertical="center"/>
    </xf>
    <xf numFmtId="176" fontId="78" fillId="0" borderId="0" applyNumberFormat="0" applyFill="0" applyBorder="0" applyAlignment="0" applyProtection="0">
      <alignment vertical="top"/>
      <protection locked="0"/>
    </xf>
    <xf numFmtId="176" fontId="21" fillId="0" borderId="0" applyNumberFormat="0" applyFill="0" applyBorder="0" applyAlignment="0" applyProtection="0">
      <alignment vertical="top"/>
    </xf>
    <xf numFmtId="176" fontId="79" fillId="0" borderId="0" applyNumberFormat="0" applyFill="0" applyBorder="0" applyAlignment="0" applyProtection="0">
      <alignment vertical="center"/>
    </xf>
    <xf numFmtId="176" fontId="80" fillId="0" borderId="0" applyNumberFormat="0" applyFill="0" applyBorder="0" applyAlignment="0" applyProtection="0">
      <alignment vertical="center"/>
    </xf>
    <xf numFmtId="176" fontId="81" fillId="0" borderId="0" applyNumberFormat="0" applyFill="0" applyBorder="0" applyAlignment="0" applyProtection="0">
      <alignment vertical="top"/>
      <protection locked="0"/>
    </xf>
    <xf numFmtId="176" fontId="82" fillId="0" borderId="0" applyNumberFormat="0" applyFill="0" applyBorder="0" applyAlignment="0" applyProtection="0">
      <alignment vertical="top"/>
      <protection locked="0"/>
    </xf>
    <xf numFmtId="176" fontId="83" fillId="0" borderId="0" applyNumberFormat="0" applyFill="0" applyBorder="0" applyAlignment="0" applyProtection="0">
      <alignment vertical="center"/>
    </xf>
    <xf numFmtId="176" fontId="80" fillId="0" borderId="0" applyNumberFormat="0" applyFill="0" applyBorder="0" applyAlignment="0" applyProtection="0">
      <alignment vertical="top"/>
      <protection locked="0"/>
    </xf>
    <xf numFmtId="176" fontId="84" fillId="23" borderId="0" applyNumberFormat="0" applyBorder="0" applyAlignment="0" applyProtection="0">
      <alignment vertical="center"/>
    </xf>
    <xf numFmtId="176" fontId="85" fillId="23" borderId="0" applyNumberFormat="0" applyBorder="0" applyAlignment="0" applyProtection="0">
      <alignment vertical="center"/>
    </xf>
    <xf numFmtId="176" fontId="86" fillId="0" borderId="35" applyNumberFormat="0" applyFill="0" applyAlignment="0" applyProtection="0">
      <alignment vertical="center"/>
    </xf>
    <xf numFmtId="176" fontId="86" fillId="0" borderId="36" applyNumberFormat="0" applyFill="0" applyAlignment="0" applyProtection="0">
      <alignment vertical="center"/>
    </xf>
    <xf numFmtId="176" fontId="86" fillId="0" borderId="37" applyNumberFormat="0" applyFill="0" applyAlignment="0" applyProtection="0">
      <alignment vertical="center"/>
    </xf>
    <xf numFmtId="185" fontId="0" fillId="0" borderId="0" applyFont="0" applyFill="0" applyBorder="0" applyAlignment="0" applyProtection="0">
      <alignment vertical="center"/>
    </xf>
    <xf numFmtId="186" fontId="0" fillId="0" borderId="0" applyFont="0" applyFill="0" applyBorder="0" applyAlignment="0" applyProtection="0">
      <alignment vertical="center"/>
    </xf>
    <xf numFmtId="176" fontId="87" fillId="57" borderId="38" applyNumberFormat="0" applyAlignment="0" applyProtection="0">
      <alignment vertical="center"/>
    </xf>
    <xf numFmtId="176" fontId="87" fillId="6" borderId="38" applyNumberFormat="0" applyAlignment="0" applyProtection="0">
      <alignment vertical="center"/>
    </xf>
    <xf numFmtId="176" fontId="88" fillId="6" borderId="38" applyNumberFormat="0" applyAlignment="0" applyProtection="0">
      <alignment vertical="center"/>
    </xf>
    <xf numFmtId="176" fontId="89" fillId="66" borderId="39" applyNumberFormat="0" applyAlignment="0" applyProtection="0">
      <alignment vertical="center"/>
    </xf>
    <xf numFmtId="176" fontId="90" fillId="0" borderId="0" applyNumberFormat="0" applyFill="0" applyBorder="0" applyAlignment="0" applyProtection="0">
      <alignment vertical="center"/>
    </xf>
    <xf numFmtId="176" fontId="91" fillId="0" borderId="0" applyNumberFormat="0" applyFill="0" applyBorder="0" applyAlignment="0" applyProtection="0">
      <alignment vertical="center"/>
    </xf>
    <xf numFmtId="176" fontId="92" fillId="0" borderId="40" applyNumberFormat="0" applyFill="0" applyAlignment="0" applyProtection="0">
      <alignment vertical="center"/>
    </xf>
    <xf numFmtId="176" fontId="93" fillId="0" borderId="40" applyNumberFormat="0" applyFill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8" fontId="0" fillId="0" borderId="0" applyFont="0" applyFill="0" applyBorder="0" applyAlignment="0" applyProtection="0">
      <alignment vertical="center"/>
    </xf>
    <xf numFmtId="189" fontId="0" fillId="0" borderId="0" applyFont="0" applyFill="0" applyBorder="0" applyAlignment="0" applyProtection="0">
      <alignment vertical="center"/>
    </xf>
    <xf numFmtId="190" fontId="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top"/>
    </xf>
    <xf numFmtId="43" fontId="0" fillId="0" borderId="0" applyFont="0" applyFill="0" applyBorder="0" applyAlignment="0" applyProtection="0">
      <alignment vertical="top"/>
    </xf>
    <xf numFmtId="177" fontId="0" fillId="0" borderId="0" applyFont="0" applyFill="0" applyBorder="0" applyAlignment="0" applyProtection="0">
      <alignment vertical="center"/>
    </xf>
    <xf numFmtId="176" fontId="94" fillId="0" borderId="0">
      <alignment vertical="center"/>
    </xf>
    <xf numFmtId="176" fontId="47" fillId="64" borderId="0" applyNumberFormat="0" applyBorder="0" applyAlignment="0" applyProtection="0">
      <alignment vertical="center"/>
    </xf>
    <xf numFmtId="176" fontId="47" fillId="67" borderId="0" applyNumberFormat="0" applyBorder="0" applyAlignment="0" applyProtection="0">
      <alignment vertical="center"/>
    </xf>
    <xf numFmtId="176" fontId="47" fillId="65" borderId="0" applyNumberFormat="0" applyBorder="0" applyAlignment="0" applyProtection="0">
      <alignment vertical="center"/>
    </xf>
    <xf numFmtId="176" fontId="47" fillId="68" borderId="0" applyNumberFormat="0" applyBorder="0" applyAlignment="0" applyProtection="0">
      <alignment vertical="center"/>
    </xf>
    <xf numFmtId="176" fontId="47" fillId="69" borderId="0" applyNumberFormat="0" applyBorder="0" applyAlignment="0" applyProtection="0">
      <alignment vertical="center"/>
    </xf>
    <xf numFmtId="176" fontId="47" fillId="66" borderId="0" applyNumberFormat="0" applyBorder="0" applyAlignment="0" applyProtection="0">
      <alignment vertical="center"/>
    </xf>
    <xf numFmtId="176" fontId="47" fillId="70" borderId="0" applyNumberFormat="0" applyBorder="0" applyAlignment="0" applyProtection="0">
      <alignment vertical="center"/>
    </xf>
    <xf numFmtId="176" fontId="47" fillId="58" borderId="0" applyNumberFormat="0" applyBorder="0" applyAlignment="0" applyProtection="0">
      <alignment vertical="center"/>
    </xf>
    <xf numFmtId="176" fontId="47" fillId="71" borderId="0" applyNumberFormat="0" applyBorder="0" applyAlignment="0" applyProtection="0">
      <alignment vertical="center"/>
    </xf>
    <xf numFmtId="41" fontId="0" fillId="0" borderId="0" applyFont="0" applyFill="0" applyBorder="0" applyAlignment="0">
      <alignment horizontal="left" vertical="center"/>
    </xf>
    <xf numFmtId="191" fontId="0" fillId="0" borderId="0" applyFont="0" applyFill="0" applyBorder="0" applyAlignment="0">
      <alignment horizontal="left" vertical="center"/>
    </xf>
    <xf numFmtId="176" fontId="0" fillId="0" borderId="0" applyFont="0" applyFill="0" applyBorder="0" applyAlignment="0">
      <alignment horizontal="left" vertical="center"/>
    </xf>
    <xf numFmtId="176" fontId="68" fillId="21" borderId="0" applyNumberFormat="0" applyBorder="0" applyAlignment="0" applyProtection="0">
      <alignment vertical="center"/>
    </xf>
    <xf numFmtId="176" fontId="95" fillId="21" borderId="0" applyNumberFormat="0" applyBorder="0" applyAlignment="0" applyProtection="0">
      <alignment vertical="center"/>
    </xf>
    <xf numFmtId="176" fontId="96" fillId="57" borderId="41" applyNumberFormat="0" applyAlignment="0" applyProtection="0">
      <alignment vertical="center"/>
    </xf>
    <xf numFmtId="176" fontId="96" fillId="6" borderId="41" applyNumberFormat="0" applyAlignment="0" applyProtection="0">
      <alignment vertical="center"/>
    </xf>
    <xf numFmtId="176" fontId="97" fillId="10" borderId="38" applyNumberFormat="0" applyAlignment="0" applyProtection="0">
      <alignment vertical="center"/>
    </xf>
    <xf numFmtId="176" fontId="98" fillId="0" borderId="2" applyNumberFormat="0" applyFill="0" applyProtection="0">
      <alignment vertical="center"/>
    </xf>
    <xf numFmtId="176" fontId="0" fillId="55" borderId="42" applyNumberFormat="0" applyFont="0" applyAlignment="0" applyProtection="0">
      <alignment vertical="center"/>
    </xf>
    <xf numFmtId="176" fontId="0" fillId="0" borderId="0" applyBorder="0">
      <alignment vertical="center"/>
    </xf>
    <xf numFmtId="176" fontId="0" fillId="0" borderId="0">
      <alignment horizontal="justify" vertical="justify" textRotation="127" wrapText="1"/>
      <protection hidden="1"/>
    </xf>
    <xf numFmtId="176" fontId="99" fillId="0" borderId="0">
      <alignment vertical="center"/>
    </xf>
    <xf numFmtId="192" fontId="0" fillId="0" borderId="0" applyFont="0" applyFill="0" applyBorder="0" applyAlignment="0" applyProtection="0">
      <alignment vertical="center"/>
    </xf>
    <xf numFmtId="193" fontId="0" fillId="0" borderId="0" applyFont="0" applyFill="0" applyBorder="0" applyAlignment="0" applyProtection="0">
      <alignment vertical="center"/>
    </xf>
    <xf numFmtId="194" fontId="0" fillId="0" borderId="0" applyFont="0" applyFill="0" applyBorder="0" applyAlignment="0" applyProtection="0">
      <alignment vertical="center"/>
    </xf>
    <xf numFmtId="195" fontId="0" fillId="0" borderId="0" applyFont="0" applyFill="0" applyBorder="0" applyAlignment="0" applyProtection="0">
      <alignment vertical="center"/>
    </xf>
    <xf numFmtId="196" fontId="100" fillId="0" borderId="0">
      <alignment vertical="top"/>
    </xf>
  </cellStyleXfs>
  <cellXfs count="344">
    <xf numFmtId="176" fontId="0" fillId="0" borderId="0" xfId="0">
      <alignment vertical="top"/>
    </xf>
    <xf numFmtId="0" fontId="1" fillId="0" borderId="0" xfId="0" applyNumberFormat="1" applyFont="1" applyAlignment="1">
      <alignment horizontal="center" vertical="center"/>
    </xf>
    <xf numFmtId="176" fontId="1" fillId="0" borderId="0" xfId="0" applyFont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43" fontId="1" fillId="0" borderId="0" xfId="1" applyNumberFormat="1" applyFont="1" applyAlignment="1">
      <alignment horizontal="center" vertical="center"/>
    </xf>
    <xf numFmtId="197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43" fontId="1" fillId="2" borderId="0" xfId="0" applyNumberFormat="1" applyFont="1" applyFill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43" fontId="2" fillId="0" borderId="1" xfId="1" applyFont="1" applyFill="1" applyBorder="1" applyAlignment="1" applyProtection="1">
      <alignment horizontal="center" vertical="center"/>
    </xf>
    <xf numFmtId="43" fontId="2" fillId="0" borderId="1" xfId="1" applyNumberFormat="1" applyFont="1" applyFill="1" applyBorder="1" applyAlignment="1" applyProtection="1">
      <alignment horizontal="center" vertical="center"/>
    </xf>
    <xf numFmtId="43" fontId="2" fillId="3" borderId="0" xfId="1" applyNumberFormat="1" applyFont="1" applyFill="1" applyBorder="1" applyAlignment="1" applyProtection="1">
      <alignment horizontal="center" vertical="center"/>
    </xf>
    <xf numFmtId="43" fontId="2" fillId="0" borderId="0" xfId="1" applyNumberFormat="1" applyFont="1" applyAlignment="1">
      <alignment horizontal="center" vertical="center"/>
    </xf>
    <xf numFmtId="197" fontId="2" fillId="0" borderId="0" xfId="0" applyNumberFormat="1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197" fontId="1" fillId="4" borderId="0" xfId="0" applyNumberFormat="1" applyFont="1" applyFill="1" applyAlignment="1">
      <alignment horizontal="center" vertical="center"/>
    </xf>
    <xf numFmtId="43" fontId="1" fillId="0" borderId="1" xfId="1" applyFont="1" applyFill="1" applyBorder="1" applyAlignment="1" applyProtection="1">
      <alignment horizontal="center" vertical="center"/>
    </xf>
    <xf numFmtId="176" fontId="1" fillId="0" borderId="0" xfId="0" applyFont="1" applyAlignment="1">
      <alignment horizontal="center" vertical="center" wrapText="1"/>
    </xf>
    <xf numFmtId="0" fontId="1" fillId="5" borderId="2" xfId="1" applyNumberFormat="1" applyFont="1" applyFill="1" applyBorder="1" applyAlignment="1">
      <alignment horizontal="center" vertical="center" wrapText="1"/>
    </xf>
    <xf numFmtId="43" fontId="1" fillId="5" borderId="2" xfId="1" applyFont="1" applyFill="1" applyBorder="1" applyAlignment="1">
      <alignment horizontal="center" vertical="center" wrapText="1"/>
    </xf>
    <xf numFmtId="43" fontId="1" fillId="5" borderId="2" xfId="1" applyNumberFormat="1" applyFont="1" applyFill="1" applyBorder="1" applyAlignment="1">
      <alignment horizontal="center" vertical="center" wrapText="1"/>
    </xf>
    <xf numFmtId="43" fontId="2" fillId="6" borderId="0" xfId="1" applyFont="1" applyFill="1" applyAlignment="1">
      <alignment horizontal="center" vertical="center" wrapText="1"/>
    </xf>
    <xf numFmtId="43" fontId="1" fillId="0" borderId="0" xfId="0" applyNumberFormat="1" applyFont="1" applyAlignment="1">
      <alignment horizontal="center" vertical="center" wrapText="1"/>
    </xf>
    <xf numFmtId="0" fontId="2" fillId="6" borderId="0" xfId="1" applyNumberFormat="1" applyFont="1" applyFill="1" applyAlignment="1">
      <alignment horizontal="center" vertical="center" wrapText="1"/>
    </xf>
    <xf numFmtId="197" fontId="1" fillId="0" borderId="0" xfId="0" applyNumberFormat="1" applyFont="1" applyAlignment="1">
      <alignment horizontal="center" vertical="center" wrapText="1"/>
    </xf>
    <xf numFmtId="0" fontId="1" fillId="0" borderId="2" xfId="1" applyNumberFormat="1" applyFont="1" applyFill="1" applyBorder="1" applyAlignment="1">
      <alignment horizontal="center" vertical="center"/>
    </xf>
    <xf numFmtId="43" fontId="1" fillId="0" borderId="2" xfId="1" applyFont="1" applyFill="1" applyBorder="1" applyAlignment="1">
      <alignment horizontal="center" vertical="center"/>
    </xf>
    <xf numFmtId="43" fontId="1" fillId="0" borderId="2" xfId="1" applyNumberFormat="1" applyFont="1" applyFill="1" applyBorder="1" applyAlignment="1">
      <alignment horizontal="center" vertical="center"/>
    </xf>
    <xf numFmtId="43" fontId="1" fillId="0" borderId="0" xfId="1" applyFont="1" applyFill="1" applyAlignment="1">
      <alignment horizontal="center" vertical="center"/>
    </xf>
    <xf numFmtId="0" fontId="1" fillId="0" borderId="0" xfId="1" applyNumberFormat="1" applyFont="1" applyFill="1" applyAlignment="1">
      <alignment horizontal="center" vertical="center"/>
    </xf>
    <xf numFmtId="197" fontId="1" fillId="0" borderId="0" xfId="0" applyNumberFormat="1" applyFont="1" applyFill="1" applyAlignment="1">
      <alignment horizontal="center" vertical="center"/>
    </xf>
    <xf numFmtId="43" fontId="1" fillId="7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6" fontId="1" fillId="0" borderId="0" xfId="1" applyNumberFormat="1" applyFont="1" applyFill="1" applyAlignment="1">
      <alignment horizontal="center" vertical="center"/>
    </xf>
    <xf numFmtId="43" fontId="1" fillId="0" borderId="0" xfId="1" applyNumberFormat="1" applyFont="1" applyFill="1" applyAlignment="1">
      <alignment horizontal="center" vertical="center"/>
    </xf>
    <xf numFmtId="0" fontId="2" fillId="0" borderId="0" xfId="1" applyNumberFormat="1" applyFont="1" applyFill="1" applyAlignment="1">
      <alignment horizontal="center" vertical="center"/>
    </xf>
    <xf numFmtId="43" fontId="2" fillId="7" borderId="0" xfId="1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43" fontId="1" fillId="7" borderId="0" xfId="1" applyNumberFormat="1" applyFont="1" applyFill="1" applyAlignment="1">
      <alignment horizontal="center" vertical="center"/>
    </xf>
    <xf numFmtId="0" fontId="2" fillId="0" borderId="0" xfId="1" applyNumberFormat="1" applyFont="1" applyAlignment="1">
      <alignment horizontal="center" vertical="center"/>
    </xf>
    <xf numFmtId="0" fontId="1" fillId="0" borderId="0" xfId="1" applyNumberFormat="1" applyFont="1" applyAlignment="1">
      <alignment horizontal="center" vertical="center"/>
    </xf>
    <xf numFmtId="0" fontId="2" fillId="4" borderId="0" xfId="1" applyNumberFormat="1" applyFont="1" applyFill="1" applyAlignment="1">
      <alignment horizontal="center" vertical="center"/>
    </xf>
    <xf numFmtId="43" fontId="1" fillId="4" borderId="0" xfId="1" applyNumberFormat="1" applyFont="1" applyFill="1" applyAlignment="1">
      <alignment horizontal="center" vertical="center"/>
    </xf>
    <xf numFmtId="0" fontId="1" fillId="4" borderId="0" xfId="0" applyNumberFormat="1" applyFont="1" applyFill="1" applyAlignment="1">
      <alignment horizontal="center" vertical="center"/>
    </xf>
    <xf numFmtId="43" fontId="1" fillId="8" borderId="0" xfId="1" applyNumberFormat="1" applyFont="1" applyFill="1" applyAlignment="1">
      <alignment horizontal="center" vertical="center"/>
    </xf>
    <xf numFmtId="43" fontId="2" fillId="8" borderId="0" xfId="1" applyNumberFormat="1" applyFont="1" applyFill="1" applyBorder="1" applyAlignment="1">
      <alignment horizontal="center" vertical="center"/>
    </xf>
    <xf numFmtId="176" fontId="1" fillId="0" borderId="0" xfId="1" applyNumberFormat="1" applyFont="1" applyAlignment="1">
      <alignment horizontal="center" vertical="center"/>
    </xf>
    <xf numFmtId="43" fontId="2" fillId="9" borderId="0" xfId="1" applyNumberFormat="1" applyFont="1" applyFill="1" applyAlignment="1">
      <alignment horizontal="center" vertical="center"/>
    </xf>
    <xf numFmtId="43" fontId="2" fillId="9" borderId="0" xfId="1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43" fontId="1" fillId="0" borderId="0" xfId="1" applyNumberFormat="1" applyFont="1" applyFill="1" applyBorder="1" applyAlignment="1">
      <alignment horizontal="center" vertical="center"/>
    </xf>
    <xf numFmtId="197" fontId="1" fillId="0" borderId="0" xfId="1" applyNumberFormat="1" applyFont="1" applyFill="1" applyAlignment="1">
      <alignment horizontal="center" vertical="center"/>
    </xf>
    <xf numFmtId="0" fontId="1" fillId="0" borderId="0" xfId="1" applyNumberFormat="1" applyFont="1" applyFill="1" applyBorder="1" applyAlignment="1">
      <alignment horizontal="center" vertical="center"/>
    </xf>
    <xf numFmtId="43" fontId="1" fillId="0" borderId="0" xfId="0" applyNumberFormat="1" applyFont="1" applyFill="1" applyAlignment="1">
      <alignment horizontal="center" vertical="center"/>
    </xf>
    <xf numFmtId="43" fontId="1" fillId="4" borderId="0" xfId="1" applyFont="1" applyFill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176" fontId="0" fillId="0" borderId="0" xfId="0" applyFont="1" applyAlignment="1">
      <alignment horizontal="center" vertical="center"/>
    </xf>
    <xf numFmtId="43" fontId="0" fillId="0" borderId="0" xfId="0" applyNumberFormat="1" applyFont="1" applyAlignment="1">
      <alignment horizontal="center" vertical="center"/>
    </xf>
    <xf numFmtId="176" fontId="0" fillId="0" borderId="0" xfId="0" applyFont="1" applyAlignment="1">
      <alignment horizontal="left" vertical="center"/>
    </xf>
    <xf numFmtId="176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1" fillId="10" borderId="2" xfId="0" applyNumberFormat="1" applyFont="1" applyFill="1" applyBorder="1" applyAlignment="1" applyProtection="1">
      <alignment horizontal="center" vertical="center" wrapText="1"/>
    </xf>
    <xf numFmtId="176" fontId="1" fillId="10" borderId="2" xfId="0" applyFont="1" applyFill="1" applyBorder="1" applyAlignment="1" applyProtection="1">
      <alignment horizontal="center" vertical="center" wrapText="1"/>
    </xf>
    <xf numFmtId="176" fontId="1" fillId="10" borderId="2" xfId="0" applyFont="1" applyFill="1" applyBorder="1" applyAlignment="1">
      <alignment horizontal="center" vertical="center"/>
    </xf>
    <xf numFmtId="43" fontId="1" fillId="10" borderId="2" xfId="1" applyNumberFormat="1" applyFont="1" applyFill="1" applyBorder="1" applyAlignment="1">
      <alignment horizontal="center" vertical="center"/>
    </xf>
    <xf numFmtId="0" fontId="1" fillId="10" borderId="0" xfId="1" applyNumberFormat="1" applyFont="1" applyFill="1" applyAlignment="1">
      <alignment horizontal="center" vertical="center"/>
    </xf>
    <xf numFmtId="176" fontId="1" fillId="10" borderId="0" xfId="54" applyNumberFormat="1" applyFont="1" applyFill="1" applyAlignment="1">
      <alignment horizontal="center" vertical="center"/>
    </xf>
    <xf numFmtId="0" fontId="1" fillId="10" borderId="0" xfId="54" applyNumberFormat="1" applyFont="1" applyFill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/>
    </xf>
    <xf numFmtId="176" fontId="1" fillId="0" borderId="0" xfId="54" applyNumberFormat="1" applyFont="1" applyFill="1" applyBorder="1" applyAlignment="1">
      <alignment horizontal="left" vertical="center"/>
    </xf>
    <xf numFmtId="176" fontId="1" fillId="0" borderId="0" xfId="54" applyNumberFormat="1" applyFont="1" applyFill="1" applyAlignment="1">
      <alignment horizontal="center" vertical="center"/>
    </xf>
    <xf numFmtId="0" fontId="1" fillId="0" borderId="0" xfId="54" applyNumberFormat="1" applyFont="1" applyFill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 wrapText="1"/>
    </xf>
    <xf numFmtId="43" fontId="2" fillId="0" borderId="0" xfId="1" applyNumberFormat="1" applyFont="1" applyFill="1" applyAlignment="1">
      <alignment horizontal="center" vertical="center"/>
    </xf>
    <xf numFmtId="176" fontId="1" fillId="0" borderId="0" xfId="0" applyNumberFormat="1" applyFont="1" applyAlignment="1">
      <alignment horizontal="left" vertical="center"/>
    </xf>
    <xf numFmtId="176" fontId="1" fillId="0" borderId="0" xfId="54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left" vertical="center"/>
    </xf>
    <xf numFmtId="0" fontId="2" fillId="0" borderId="2" xfId="54" applyNumberFormat="1" applyFont="1" applyBorder="1" applyAlignment="1">
      <alignment horizontal="center" vertical="center" wrapText="1"/>
    </xf>
    <xf numFmtId="176" fontId="2" fillId="0" borderId="2" xfId="54" applyFont="1" applyBorder="1" applyAlignment="1">
      <alignment horizontal="center" vertical="center" wrapText="1"/>
    </xf>
    <xf numFmtId="43" fontId="1" fillId="0" borderId="2" xfId="1" applyFont="1" applyBorder="1" applyAlignment="1">
      <alignment horizontal="center" vertical="center" wrapText="1"/>
    </xf>
    <xf numFmtId="0" fontId="1" fillId="0" borderId="0" xfId="54" applyNumberFormat="1" applyFont="1" applyFill="1" applyAlignment="1">
      <alignment horizontal="center" vertical="center" wrapText="1"/>
    </xf>
    <xf numFmtId="176" fontId="1" fillId="0" borderId="0" xfId="54" applyFont="1" applyFill="1" applyAlignment="1">
      <alignment horizontal="center" vertical="center" wrapText="1"/>
    </xf>
    <xf numFmtId="176" fontId="1" fillId="0" borderId="0" xfId="54" applyNumberFormat="1" applyFont="1" applyFill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 shrinkToFit="1"/>
    </xf>
    <xf numFmtId="176" fontId="1" fillId="0" borderId="2" xfId="0" applyFont="1" applyFill="1" applyBorder="1" applyAlignment="1">
      <alignment horizontal="center" vertical="center"/>
    </xf>
    <xf numFmtId="43" fontId="2" fillId="0" borderId="2" xfId="1" applyFont="1" applyFill="1" applyBorder="1" applyAlignment="1">
      <alignment horizontal="center" vertical="center"/>
    </xf>
    <xf numFmtId="176" fontId="2" fillId="0" borderId="0" xfId="54" applyFont="1" applyFill="1" applyAlignment="1">
      <alignment horizontal="center" vertical="center"/>
    </xf>
    <xf numFmtId="43" fontId="1" fillId="0" borderId="0" xfId="0" applyNumberFormat="1" applyFont="1" applyFill="1" applyAlignment="1">
      <alignment horizontal="center" vertical="center" shrinkToFit="1"/>
    </xf>
    <xf numFmtId="43" fontId="7" fillId="0" borderId="0" xfId="1" applyNumberFormat="1" applyFont="1" applyFill="1" applyAlignment="1">
      <alignment horizontal="center" vertical="center" shrinkToFit="1"/>
    </xf>
    <xf numFmtId="43" fontId="2" fillId="0" borderId="0" xfId="54" applyNumberFormat="1" applyFont="1" applyFill="1" applyAlignment="1">
      <alignment horizontal="center" vertical="center"/>
    </xf>
    <xf numFmtId="43" fontId="1" fillId="0" borderId="0" xfId="54" applyNumberFormat="1" applyFont="1" applyFill="1" applyAlignment="1">
      <alignment horizontal="center" vertical="center"/>
    </xf>
    <xf numFmtId="0" fontId="1" fillId="0" borderId="0" xfId="54" applyNumberFormat="1" applyFont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76" fontId="1" fillId="11" borderId="0" xfId="0" applyNumberFormat="1" applyFont="1" applyFill="1" applyBorder="1" applyAlignment="1">
      <alignment horizontal="center" vertical="center"/>
    </xf>
    <xf numFmtId="43" fontId="1" fillId="11" borderId="0" xfId="1" applyFont="1" applyFill="1" applyBorder="1" applyAlignment="1">
      <alignment horizontal="center" vertical="center"/>
    </xf>
    <xf numFmtId="176" fontId="2" fillId="12" borderId="0" xfId="0" applyFont="1" applyFill="1" applyBorder="1" applyAlignment="1">
      <alignment horizontal="center" vertical="center"/>
    </xf>
    <xf numFmtId="176" fontId="2" fillId="0" borderId="2" xfId="0" applyFont="1" applyFill="1" applyBorder="1" applyAlignment="1">
      <alignment horizontal="center" vertical="center"/>
    </xf>
    <xf numFmtId="176" fontId="1" fillId="0" borderId="2" xfId="135" applyFont="1" applyFill="1" applyBorder="1" applyAlignment="1">
      <alignment horizontal="center" vertical="center"/>
    </xf>
    <xf numFmtId="43" fontId="1" fillId="0" borderId="0" xfId="1" applyFont="1" applyFill="1" applyBorder="1" applyAlignment="1">
      <alignment horizontal="center" vertical="center"/>
    </xf>
    <xf numFmtId="43" fontId="2" fillId="0" borderId="0" xfId="0" applyNumberFormat="1" applyFont="1" applyFill="1" applyAlignment="1">
      <alignment horizontal="center" vertical="center"/>
    </xf>
    <xf numFmtId="176" fontId="1" fillId="0" borderId="0" xfId="0" applyFont="1" applyFill="1" applyAlignment="1">
      <alignment horizontal="center" vertical="center"/>
    </xf>
    <xf numFmtId="0" fontId="1" fillId="13" borderId="2" xfId="54" applyNumberFormat="1" applyFont="1" applyFill="1" applyBorder="1" applyAlignment="1">
      <alignment horizontal="center" vertical="center"/>
    </xf>
    <xf numFmtId="176" fontId="1" fillId="13" borderId="2" xfId="54" applyFont="1" applyFill="1" applyBorder="1" applyAlignment="1">
      <alignment horizontal="center" vertical="center"/>
    </xf>
    <xf numFmtId="43" fontId="7" fillId="0" borderId="2" xfId="1" applyNumberFormat="1" applyFont="1" applyFill="1" applyBorder="1" applyAlignment="1">
      <alignment horizontal="center" vertical="center"/>
    </xf>
    <xf numFmtId="176" fontId="1" fillId="0" borderId="0" xfId="54" applyFont="1" applyAlignment="1">
      <alignment horizontal="center" vertical="center" wrapText="1"/>
    </xf>
    <xf numFmtId="176" fontId="1" fillId="0" borderId="0" xfId="54" applyNumberFormat="1" applyFont="1" applyAlignment="1">
      <alignment horizontal="center" vertical="center"/>
    </xf>
    <xf numFmtId="197" fontId="1" fillId="14" borderId="0" xfId="0" applyNumberFormat="1" applyFont="1" applyFill="1" applyAlignment="1">
      <alignment horizontal="center" vertical="center"/>
    </xf>
    <xf numFmtId="0" fontId="2" fillId="13" borderId="2" xfId="54" applyNumberFormat="1" applyFont="1" applyFill="1" applyBorder="1" applyAlignment="1">
      <alignment horizontal="center" vertical="center"/>
    </xf>
    <xf numFmtId="176" fontId="2" fillId="13" borderId="2" xfId="54" applyFont="1" applyFill="1" applyBorder="1" applyAlignment="1">
      <alignment horizontal="center" vertical="center"/>
    </xf>
    <xf numFmtId="43" fontId="2" fillId="0" borderId="2" xfId="1" applyNumberFormat="1" applyFont="1" applyFill="1" applyBorder="1" applyAlignment="1">
      <alignment horizontal="center" vertical="center"/>
    </xf>
    <xf numFmtId="43" fontId="2" fillId="2" borderId="2" xfId="1" applyNumberFormat="1" applyFont="1" applyFill="1" applyBorder="1" applyAlignment="1">
      <alignment horizontal="center" vertical="center"/>
    </xf>
    <xf numFmtId="176" fontId="1" fillId="6" borderId="0" xfId="54" applyNumberFormat="1" applyFont="1" applyFill="1" applyAlignment="1">
      <alignment horizontal="center" vertical="center"/>
    </xf>
    <xf numFmtId="0" fontId="1" fillId="6" borderId="0" xfId="1" applyNumberFormat="1" applyFont="1" applyFill="1" applyAlignment="1">
      <alignment horizontal="center" vertical="center"/>
    </xf>
    <xf numFmtId="176" fontId="2" fillId="0" borderId="0" xfId="54" applyFont="1" applyFill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3" fontId="7" fillId="0" borderId="0" xfId="1" applyNumberFormat="1" applyFont="1" applyFill="1" applyAlignment="1">
      <alignment horizontal="center" vertical="center"/>
    </xf>
    <xf numFmtId="43" fontId="1" fillId="15" borderId="0" xfId="0" applyNumberFormat="1" applyFont="1" applyFill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43" fontId="2" fillId="0" borderId="2" xfId="0" applyNumberFormat="1" applyFont="1" applyFill="1" applyBorder="1" applyAlignment="1">
      <alignment horizontal="center" vertical="center"/>
    </xf>
    <xf numFmtId="43" fontId="2" fillId="15" borderId="0" xfId="0" applyNumberFormat="1" applyFont="1" applyFill="1" applyAlignment="1">
      <alignment horizontal="center" vertical="center"/>
    </xf>
    <xf numFmtId="43" fontId="1" fillId="4" borderId="2" xfId="1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8" fillId="0" borderId="0" xfId="0" applyNumberFormat="1" applyFont="1" applyAlignment="1">
      <alignment horizontal="center" vertical="center" wrapText="1"/>
    </xf>
    <xf numFmtId="176" fontId="8" fillId="0" borderId="0" xfId="0" applyNumberFormat="1" applyFont="1" applyAlignment="1">
      <alignment horizontal="center" vertical="center" wrapText="1"/>
    </xf>
    <xf numFmtId="0" fontId="8" fillId="12" borderId="0" xfId="0" applyNumberFormat="1" applyFont="1" applyFill="1" applyAlignment="1">
      <alignment horizontal="center" vertical="center" wrapText="1"/>
    </xf>
    <xf numFmtId="176" fontId="8" fillId="0" borderId="0" xfId="0" applyNumberFormat="1" applyFont="1" applyFill="1" applyAlignment="1">
      <alignment horizontal="center" vertical="center" wrapText="1"/>
    </xf>
    <xf numFmtId="0" fontId="8" fillId="12" borderId="0" xfId="1" applyNumberFormat="1" applyFont="1" applyFill="1" applyAlignment="1">
      <alignment horizontal="center" vertical="center" wrapText="1"/>
    </xf>
    <xf numFmtId="0" fontId="8" fillId="14" borderId="0" xfId="0" applyNumberFormat="1" applyFont="1" applyFill="1" applyAlignment="1">
      <alignment horizontal="center" vertical="center" wrapText="1"/>
    </xf>
    <xf numFmtId="43" fontId="2" fillId="0" borderId="0" xfId="1" applyNumberFormat="1" applyFont="1" applyFill="1" applyAlignment="1">
      <alignment horizontal="center" vertical="center" wrapText="1"/>
    </xf>
    <xf numFmtId="43" fontId="1" fillId="16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 applyProtection="1">
      <alignment horizontal="center" vertical="center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17" borderId="3" xfId="0" applyNumberFormat="1" applyFont="1" applyFill="1" applyBorder="1" applyAlignment="1" applyProtection="1">
      <alignment horizontal="center" vertical="center"/>
    </xf>
    <xf numFmtId="14" fontId="4" fillId="17" borderId="3" xfId="0" applyNumberFormat="1" applyFont="1" applyFill="1" applyBorder="1" applyAlignment="1" applyProtection="1">
      <alignment horizontal="center" vertical="center"/>
    </xf>
    <xf numFmtId="176" fontId="1" fillId="0" borderId="0" xfId="0" applyNumberFormat="1" applyFont="1" applyFill="1" applyAlignment="1" applyProtection="1">
      <alignment horizontal="center" vertical="center"/>
    </xf>
    <xf numFmtId="0" fontId="1" fillId="0" borderId="0" xfId="1" applyNumberFormat="1" applyFont="1" applyFill="1" applyAlignment="1" applyProtection="1">
      <alignment horizontal="center" vertical="center"/>
    </xf>
    <xf numFmtId="43" fontId="1" fillId="0" borderId="0" xfId="1" applyFont="1" applyAlignment="1">
      <alignment horizontal="center" vertical="center"/>
    </xf>
    <xf numFmtId="0" fontId="9" fillId="0" borderId="0" xfId="0" applyNumberFormat="1" applyFont="1" applyFill="1" applyAlignment="1">
      <alignment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9" fillId="0" borderId="0" xfId="0" applyNumberFormat="1" applyFont="1" applyFill="1" applyAlignment="1">
      <alignment horizontal="center" vertical="center" wrapText="1"/>
    </xf>
    <xf numFmtId="0" fontId="1" fillId="0" borderId="4" xfId="1" applyNumberFormat="1" applyFont="1" applyFill="1" applyBorder="1" applyAlignment="1">
      <alignment horizontal="center" vertical="center" wrapText="1"/>
    </xf>
    <xf numFmtId="0" fontId="1" fillId="0" borderId="0" xfId="1" applyNumberFormat="1" applyFont="1" applyAlignment="1">
      <alignment horizontal="center" vertical="center" wrapText="1"/>
    </xf>
    <xf numFmtId="0" fontId="8" fillId="18" borderId="2" xfId="0" applyNumberFormat="1" applyFont="1" applyFill="1" applyBorder="1" applyAlignment="1">
      <alignment horizontal="center" vertical="center" wrapText="1"/>
    </xf>
    <xf numFmtId="0" fontId="8" fillId="18" borderId="5" xfId="0" applyNumberFormat="1" applyFont="1" applyFill="1" applyBorder="1" applyAlignment="1">
      <alignment horizontal="center" vertical="center" wrapText="1"/>
    </xf>
    <xf numFmtId="43" fontId="8" fillId="18" borderId="2" xfId="0" applyNumberFormat="1" applyFont="1" applyFill="1" applyBorder="1" applyAlignment="1">
      <alignment horizontal="center" vertical="center" wrapText="1"/>
    </xf>
    <xf numFmtId="0" fontId="8" fillId="4" borderId="2" xfId="0" applyNumberFormat="1" applyFont="1" applyFill="1" applyBorder="1" applyAlignment="1">
      <alignment horizontal="center" vertical="center" wrapText="1"/>
    </xf>
    <xf numFmtId="0" fontId="8" fillId="18" borderId="2" xfId="0" applyNumberFormat="1" applyFont="1" applyFill="1" applyBorder="1" applyAlignment="1">
      <alignment horizontal="center" vertical="center"/>
    </xf>
    <xf numFmtId="43" fontId="8" fillId="19" borderId="2" xfId="1" applyNumberFormat="1" applyFont="1" applyFill="1" applyBorder="1" applyAlignment="1">
      <alignment horizontal="center" vertical="center" wrapText="1"/>
    </xf>
    <xf numFmtId="43" fontId="8" fillId="8" borderId="2" xfId="1" applyNumberFormat="1" applyFont="1" applyFill="1" applyBorder="1" applyAlignment="1">
      <alignment horizontal="center" vertical="center" wrapText="1"/>
    </xf>
    <xf numFmtId="43" fontId="8" fillId="19" borderId="2" xfId="1" applyFont="1" applyFill="1" applyBorder="1" applyAlignment="1">
      <alignment horizontal="center" vertical="center" wrapText="1"/>
    </xf>
    <xf numFmtId="176" fontId="8" fillId="19" borderId="5" xfId="1" applyNumberFormat="1" applyFont="1" applyFill="1" applyBorder="1" applyAlignment="1">
      <alignment horizontal="center" vertical="center" wrapText="1"/>
    </xf>
    <xf numFmtId="176" fontId="8" fillId="19" borderId="2" xfId="1" applyNumberFormat="1" applyFont="1" applyFill="1" applyBorder="1" applyAlignment="1">
      <alignment horizontal="center" vertical="center" wrapText="1"/>
    </xf>
    <xf numFmtId="176" fontId="8" fillId="19" borderId="4" xfId="0" applyNumberFormat="1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0" fontId="8" fillId="0" borderId="4" xfId="0" applyNumberFormat="1" applyFont="1" applyFill="1" applyBorder="1" applyAlignment="1">
      <alignment horizontal="center" vertical="center" wrapText="1"/>
    </xf>
    <xf numFmtId="176" fontId="8" fillId="19" borderId="6" xfId="0" applyNumberFormat="1" applyFont="1" applyFill="1" applyBorder="1" applyAlignment="1">
      <alignment horizontal="center" vertical="center" wrapText="1"/>
    </xf>
    <xf numFmtId="176" fontId="8" fillId="0" borderId="6" xfId="0" applyNumberFormat="1" applyFont="1" applyFill="1" applyBorder="1" applyAlignment="1">
      <alignment horizontal="center" vertical="center" wrapText="1"/>
    </xf>
    <xf numFmtId="0" fontId="8" fillId="0" borderId="6" xfId="0" applyNumberFormat="1" applyFont="1" applyFill="1" applyBorder="1" applyAlignment="1">
      <alignment horizontal="center" vertical="center" wrapText="1"/>
    </xf>
    <xf numFmtId="43" fontId="8" fillId="0" borderId="0" xfId="1" applyFont="1" applyFill="1" applyAlignment="1">
      <alignment horizontal="center" vertical="center" wrapText="1"/>
    </xf>
    <xf numFmtId="43" fontId="8" fillId="0" borderId="0" xfId="0" applyNumberFormat="1" applyFont="1" applyFill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vertical="center"/>
    </xf>
    <xf numFmtId="43" fontId="1" fillId="0" borderId="2" xfId="0" applyNumberFormat="1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14" fontId="1" fillId="0" borderId="2" xfId="0" applyNumberFormat="1" applyFont="1" applyFill="1" applyBorder="1" applyAlignment="1">
      <alignment horizontal="center" vertical="center"/>
    </xf>
    <xf numFmtId="14" fontId="1" fillId="0" borderId="2" xfId="0" applyNumberFormat="1" applyFont="1" applyFill="1" applyBorder="1" applyAlignment="1">
      <alignment horizontal="center" vertical="center" wrapText="1"/>
    </xf>
    <xf numFmtId="43" fontId="1" fillId="8" borderId="2" xfId="1" applyNumberFormat="1" applyFont="1" applyFill="1" applyBorder="1" applyAlignment="1">
      <alignment horizontal="center" vertical="center"/>
    </xf>
    <xf numFmtId="176" fontId="1" fillId="0" borderId="5" xfId="1" applyNumberFormat="1" applyFont="1" applyFill="1" applyBorder="1" applyAlignment="1">
      <alignment horizontal="center" vertical="center"/>
    </xf>
    <xf numFmtId="176" fontId="1" fillId="0" borderId="2" xfId="1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left" vertical="center"/>
    </xf>
    <xf numFmtId="0" fontId="0" fillId="0" borderId="0" xfId="0" applyNumberFormat="1">
      <alignment vertical="top"/>
    </xf>
    <xf numFmtId="0" fontId="1" fillId="0" borderId="0" xfId="0" applyNumberFormat="1" applyFont="1" applyAlignment="1">
      <alignment horizontal="left" vertical="center"/>
    </xf>
    <xf numFmtId="176" fontId="0" fillId="0" borderId="0" xfId="0" applyAlignment="1">
      <alignment horizontal="left" vertical="top"/>
    </xf>
    <xf numFmtId="4" fontId="0" fillId="0" borderId="0" xfId="0" applyNumberFormat="1">
      <alignment vertical="top"/>
    </xf>
    <xf numFmtId="176" fontId="0" fillId="0" borderId="0" xfId="0" applyNumberFormat="1">
      <alignment vertical="top"/>
    </xf>
    <xf numFmtId="0" fontId="10" fillId="0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176" fontId="10" fillId="0" borderId="7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4" fontId="1" fillId="0" borderId="0" xfId="0" applyNumberFormat="1" applyFont="1" applyFill="1" applyAlignment="1">
      <alignment horizontal="center" vertical="center"/>
    </xf>
    <xf numFmtId="43" fontId="1" fillId="0" borderId="1" xfId="1" applyFont="1" applyFill="1" applyBorder="1" applyAlignment="1">
      <alignment horizontal="center" vertical="center"/>
    </xf>
    <xf numFmtId="43" fontId="2" fillId="0" borderId="1" xfId="1" applyNumberFormat="1" applyFont="1" applyFill="1" applyBorder="1" applyAlignment="1">
      <alignment horizontal="center" vertical="center"/>
    </xf>
    <xf numFmtId="176" fontId="0" fillId="0" borderId="0" xfId="0" applyNumberFormat="1" applyFont="1">
      <alignment vertical="top"/>
    </xf>
    <xf numFmtId="0" fontId="11" fillId="0" borderId="0" xfId="55" applyNumberFormat="1" applyFont="1" applyFill="1" applyBorder="1" applyAlignment="1">
      <alignment horizontal="left" vertical="center"/>
    </xf>
    <xf numFmtId="176" fontId="11" fillId="0" borderId="0" xfId="55" applyFont="1" applyFill="1" applyBorder="1" applyAlignment="1">
      <alignment horizontal="left" vertical="center"/>
    </xf>
    <xf numFmtId="49" fontId="11" fillId="0" borderId="0" xfId="55" applyNumberFormat="1" applyFont="1" applyFill="1" applyBorder="1" applyAlignment="1">
      <alignment horizontal="left" vertical="center"/>
    </xf>
    <xf numFmtId="176" fontId="12" fillId="0" borderId="0" xfId="147" applyNumberFormat="1" applyFont="1" applyAlignment="1">
      <alignment horizontal="left"/>
    </xf>
    <xf numFmtId="176" fontId="0" fillId="0" borderId="0" xfId="0" applyNumberFormat="1" applyAlignment="1">
      <alignment horizontal="left" vertical="top"/>
    </xf>
    <xf numFmtId="176" fontId="8" fillId="0" borderId="0" xfId="0" applyFont="1">
      <alignment vertical="top"/>
    </xf>
    <xf numFmtId="176" fontId="0" fillId="0" borderId="0" xfId="0" applyFill="1">
      <alignment vertical="top"/>
    </xf>
    <xf numFmtId="176" fontId="1" fillId="0" borderId="0" xfId="0" applyNumberFormat="1" applyFont="1">
      <alignment vertical="top"/>
    </xf>
    <xf numFmtId="43" fontId="1" fillId="0" borderId="0" xfId="0" applyNumberFormat="1" applyFont="1">
      <alignment vertical="top"/>
    </xf>
    <xf numFmtId="0" fontId="1" fillId="0" borderId="0" xfId="0" applyNumberFormat="1" applyFont="1">
      <alignment vertical="top"/>
    </xf>
    <xf numFmtId="176" fontId="1" fillId="0" borderId="0" xfId="0" applyFont="1">
      <alignment vertical="top"/>
    </xf>
    <xf numFmtId="14" fontId="1" fillId="0" borderId="0" xfId="0" applyNumberFormat="1" applyFont="1">
      <alignment vertical="top"/>
    </xf>
    <xf numFmtId="176" fontId="1" fillId="0" borderId="0" xfId="0" applyFont="1" applyAlignment="1">
      <alignment horizontal="left" vertical="top"/>
    </xf>
    <xf numFmtId="176" fontId="1" fillId="0" borderId="0" xfId="0" applyFont="1" applyAlignment="1">
      <alignment horizontal="center" vertical="top"/>
    </xf>
    <xf numFmtId="0" fontId="10" fillId="0" borderId="0" xfId="1" applyNumberFormat="1" applyFont="1" applyFill="1" applyBorder="1" applyAlignment="1">
      <alignment horizontal="center" vertical="center"/>
    </xf>
    <xf numFmtId="0" fontId="10" fillId="0" borderId="0" xfId="1" applyNumberFormat="1" applyFont="1" applyFill="1" applyBorder="1" applyAlignment="1">
      <alignment horizontal="left" vertical="center"/>
    </xf>
    <xf numFmtId="0" fontId="10" fillId="0" borderId="0" xfId="1" applyNumberFormat="1" applyFont="1" applyFill="1" applyBorder="1" applyAlignment="1">
      <alignment vertical="center"/>
    </xf>
    <xf numFmtId="0" fontId="8" fillId="0" borderId="1" xfId="1" applyNumberFormat="1" applyFont="1" applyFill="1" applyBorder="1" applyAlignment="1">
      <alignment horizontal="center" vertical="center" wrapText="1"/>
    </xf>
    <xf numFmtId="176" fontId="8" fillId="0" borderId="1" xfId="1" applyNumberFormat="1" applyFont="1" applyFill="1" applyBorder="1" applyAlignment="1">
      <alignment horizontal="center" vertical="center" wrapText="1"/>
    </xf>
    <xf numFmtId="176" fontId="8" fillId="20" borderId="1" xfId="1" applyNumberFormat="1" applyFont="1" applyFill="1" applyBorder="1" applyAlignment="1">
      <alignment horizontal="center" vertical="center" wrapText="1"/>
    </xf>
    <xf numFmtId="0" fontId="8" fillId="20" borderId="1" xfId="1" applyNumberFormat="1" applyFont="1" applyFill="1" applyBorder="1" applyAlignment="1">
      <alignment horizontal="center" vertical="center" wrapText="1"/>
    </xf>
    <xf numFmtId="43" fontId="8" fillId="0" borderId="1" xfId="1" applyFont="1" applyFill="1" applyBorder="1" applyAlignment="1">
      <alignment horizontal="center" vertical="center" wrapText="1"/>
    </xf>
    <xf numFmtId="43" fontId="8" fillId="12" borderId="1" xfId="1" applyFont="1" applyFill="1" applyBorder="1" applyAlignment="1">
      <alignment horizontal="center" vertical="center" wrapText="1"/>
    </xf>
    <xf numFmtId="43" fontId="8" fillId="4" borderId="1" xfId="1" applyFont="1" applyFill="1" applyBorder="1" applyAlignment="1">
      <alignment horizontal="center" vertical="center" wrapText="1"/>
    </xf>
    <xf numFmtId="43" fontId="8" fillId="0" borderId="0" xfId="1" applyFont="1" applyFill="1" applyBorder="1" applyAlignment="1">
      <alignment vertical="center" wrapText="1"/>
    </xf>
    <xf numFmtId="43" fontId="8" fillId="0" borderId="0" xfId="1" applyFont="1" applyAlignment="1">
      <alignment horizontal="center" vertical="center" wrapText="1"/>
    </xf>
    <xf numFmtId="176" fontId="8" fillId="0" borderId="0" xfId="0" applyFont="1" applyAlignment="1">
      <alignment horizontal="center" vertical="center" wrapText="1"/>
    </xf>
    <xf numFmtId="0" fontId="8" fillId="0" borderId="0" xfId="0" applyNumberFormat="1" applyFont="1">
      <alignment vertical="top"/>
    </xf>
    <xf numFmtId="0" fontId="1" fillId="0" borderId="1" xfId="1" applyNumberFormat="1" applyFont="1" applyFill="1" applyBorder="1" applyAlignment="1">
      <alignment horizontal="center" vertical="center"/>
    </xf>
    <xf numFmtId="176" fontId="1" fillId="0" borderId="1" xfId="1" applyNumberFormat="1" applyFont="1" applyFill="1" applyBorder="1" applyAlignment="1">
      <alignment horizontal="center" vertical="center"/>
    </xf>
    <xf numFmtId="176" fontId="1" fillId="0" borderId="1" xfId="1" applyNumberFormat="1" applyFont="1" applyFill="1" applyBorder="1" applyAlignment="1" applyProtection="1">
      <alignment horizontal="center" vertical="center"/>
    </xf>
    <xf numFmtId="0" fontId="1" fillId="0" borderId="1" xfId="1" applyNumberFormat="1" applyFont="1" applyFill="1" applyBorder="1" applyAlignment="1" applyProtection="1">
      <alignment horizontal="center" vertical="center"/>
    </xf>
    <xf numFmtId="14" fontId="1" fillId="0" borderId="1" xfId="1" applyNumberFormat="1" applyFont="1" applyFill="1" applyBorder="1" applyAlignment="1" applyProtection="1">
      <alignment horizontal="center" vertical="center"/>
    </xf>
    <xf numFmtId="197" fontId="1" fillId="0" borderId="1" xfId="1" applyNumberFormat="1" applyFont="1" applyFill="1" applyBorder="1" applyAlignment="1" applyProtection="1">
      <alignment horizontal="center" vertical="center"/>
    </xf>
    <xf numFmtId="176" fontId="1" fillId="0" borderId="1" xfId="1" applyNumberFormat="1" applyFont="1" applyFill="1" applyBorder="1" applyAlignment="1" applyProtection="1">
      <alignment horizontal="center" vertical="center"/>
    </xf>
    <xf numFmtId="43" fontId="2" fillId="0" borderId="0" xfId="1" applyFont="1" applyFill="1" applyBorder="1" applyAlignment="1" applyProtection="1">
      <alignment vertical="top"/>
    </xf>
    <xf numFmtId="43" fontId="1" fillId="0" borderId="0" xfId="1" applyFont="1" applyFill="1" applyAlignment="1">
      <alignment horizontal="left" vertical="top"/>
    </xf>
    <xf numFmtId="43" fontId="1" fillId="0" borderId="0" xfId="1" applyFont="1" applyFill="1" applyAlignment="1">
      <alignment horizontal="center" vertical="top"/>
    </xf>
    <xf numFmtId="0" fontId="1" fillId="0" borderId="0" xfId="0" applyNumberFormat="1" applyFont="1" applyFill="1" applyAlignment="1">
      <alignment horizontal="center" vertical="top"/>
    </xf>
    <xf numFmtId="0" fontId="0" fillId="0" borderId="0" xfId="0" applyNumberFormat="1" applyFill="1">
      <alignment vertical="top"/>
    </xf>
    <xf numFmtId="176" fontId="1" fillId="0" borderId="0" xfId="0" applyFont="1" applyFill="1" applyAlignment="1">
      <alignment horizontal="center" vertical="top"/>
    </xf>
    <xf numFmtId="197" fontId="1" fillId="0" borderId="1" xfId="1" applyNumberFormat="1" applyFont="1" applyFill="1" applyBorder="1" applyAlignment="1" applyProtection="1">
      <alignment horizontal="center" vertical="center"/>
    </xf>
    <xf numFmtId="49" fontId="1" fillId="0" borderId="1" xfId="1" applyNumberFormat="1" applyFont="1" applyFill="1" applyBorder="1" applyAlignment="1" applyProtection="1">
      <alignment horizontal="center" vertical="center"/>
    </xf>
    <xf numFmtId="0" fontId="2" fillId="0" borderId="1" xfId="1" applyNumberFormat="1" applyFont="1" applyFill="1" applyBorder="1" applyAlignment="1">
      <alignment horizontal="center" vertical="top"/>
    </xf>
    <xf numFmtId="176" fontId="2" fillId="0" borderId="1" xfId="1" applyNumberFormat="1" applyFont="1" applyFill="1" applyBorder="1" applyAlignment="1">
      <alignment horizontal="center" vertical="top"/>
    </xf>
    <xf numFmtId="176" fontId="2" fillId="0" borderId="1" xfId="1" applyNumberFormat="1" applyFont="1" applyFill="1" applyBorder="1" applyAlignment="1" applyProtection="1">
      <alignment vertical="top"/>
    </xf>
    <xf numFmtId="176" fontId="2" fillId="0" borderId="1" xfId="1" applyNumberFormat="1" applyFont="1" applyFill="1" applyBorder="1" applyAlignment="1" applyProtection="1">
      <alignment horizontal="center" vertical="center"/>
    </xf>
    <xf numFmtId="0" fontId="2" fillId="0" borderId="1" xfId="1" applyNumberFormat="1" applyFont="1" applyFill="1" applyBorder="1" applyAlignment="1" applyProtection="1">
      <alignment horizontal="center" vertical="center"/>
    </xf>
    <xf numFmtId="14" fontId="2" fillId="0" borderId="1" xfId="1" applyNumberFormat="1" applyFont="1" applyFill="1" applyBorder="1" applyAlignment="1" applyProtection="1">
      <alignment horizontal="center" vertical="center"/>
    </xf>
    <xf numFmtId="197" fontId="2" fillId="0" borderId="1" xfId="1" applyNumberFormat="1" applyFont="1" applyFill="1" applyBorder="1" applyAlignment="1" applyProtection="1">
      <alignment horizontal="center" vertical="center"/>
    </xf>
    <xf numFmtId="43" fontId="2" fillId="0" borderId="1" xfId="1" applyFont="1" applyFill="1" applyBorder="1" applyAlignment="1" applyProtection="1">
      <alignment vertical="top"/>
    </xf>
    <xf numFmtId="43" fontId="1" fillId="0" borderId="0" xfId="1" applyFont="1" applyAlignment="1">
      <alignment horizontal="center" vertical="top"/>
    </xf>
    <xf numFmtId="0" fontId="1" fillId="0" borderId="0" xfId="1" applyNumberFormat="1" applyFont="1" applyFill="1">
      <alignment vertical="top"/>
    </xf>
    <xf numFmtId="176" fontId="1" fillId="0" borderId="0" xfId="1" applyNumberFormat="1" applyFont="1" applyFill="1">
      <alignment vertical="top"/>
    </xf>
    <xf numFmtId="14" fontId="1" fillId="0" borderId="0" xfId="1" applyNumberFormat="1" applyFont="1" applyFill="1" applyAlignment="1">
      <alignment horizontal="center" vertical="center"/>
    </xf>
    <xf numFmtId="0" fontId="1" fillId="0" borderId="0" xfId="1" applyNumberFormat="1" applyFont="1" applyFill="1" applyAlignment="1">
      <alignment horizontal="center" vertical="top"/>
    </xf>
    <xf numFmtId="43" fontId="1" fillId="0" borderId="0" xfId="1" applyFont="1" applyFill="1">
      <alignment vertical="top"/>
    </xf>
    <xf numFmtId="176" fontId="2" fillId="0" borderId="0" xfId="1" applyNumberFormat="1" applyFont="1" applyFill="1" applyAlignment="1">
      <alignment horizontal="center" vertical="center"/>
    </xf>
    <xf numFmtId="43" fontId="1" fillId="0" borderId="0" xfId="1" applyNumberFormat="1" applyFont="1" applyFill="1">
      <alignment vertical="top"/>
    </xf>
    <xf numFmtId="0" fontId="10" fillId="0" borderId="0" xfId="136" applyNumberFormat="1" applyFont="1" applyFill="1" applyBorder="1" applyAlignment="1">
      <alignment horizontal="center" vertical="center"/>
    </xf>
    <xf numFmtId="43" fontId="10" fillId="0" borderId="0" xfId="1" applyFont="1" applyFill="1" applyBorder="1" applyAlignment="1">
      <alignment horizontal="center" vertical="center"/>
    </xf>
    <xf numFmtId="43" fontId="10" fillId="0" borderId="0" xfId="1" applyFont="1" applyBorder="1" applyAlignment="1">
      <alignment horizontal="center" vertical="center"/>
    </xf>
    <xf numFmtId="176" fontId="13" fillId="0" borderId="0" xfId="6" applyNumberFormat="1" applyFont="1" applyFill="1" applyAlignment="1" applyProtection="1">
      <alignment horizontal="left" vertical="top"/>
    </xf>
    <xf numFmtId="176" fontId="1" fillId="0" borderId="0" xfId="1" applyNumberFormat="1" applyFont="1" applyFill="1" applyAlignment="1">
      <alignment horizontal="center" vertical="top"/>
    </xf>
    <xf numFmtId="176" fontId="1" fillId="0" borderId="0" xfId="0" applyNumberFormat="1" applyFont="1" applyAlignment="1">
      <alignment horizontal="center" vertical="top"/>
    </xf>
    <xf numFmtId="0" fontId="10" fillId="0" borderId="0" xfId="136" applyNumberFormat="1" applyFont="1" applyFill="1" applyAlignment="1">
      <alignment horizontal="center" vertical="center"/>
    </xf>
    <xf numFmtId="10" fontId="1" fillId="0" borderId="0" xfId="3" applyNumberFormat="1" applyFont="1" applyFill="1" applyAlignment="1">
      <alignment vertical="top"/>
    </xf>
    <xf numFmtId="43" fontId="1" fillId="0" borderId="0" xfId="1" applyNumberFormat="1" applyFont="1" applyFill="1" applyAlignment="1">
      <alignment horizontal="left" vertical="top"/>
    </xf>
    <xf numFmtId="43" fontId="1" fillId="0" borderId="0" xfId="1" applyNumberFormat="1" applyFont="1" applyFill="1" applyAlignment="1">
      <alignment horizontal="center" vertical="top"/>
    </xf>
    <xf numFmtId="43" fontId="1" fillId="0" borderId="0" xfId="0" applyNumberFormat="1" applyFont="1" applyAlignment="1">
      <alignment horizontal="center" vertical="top"/>
    </xf>
    <xf numFmtId="0" fontId="1" fillId="0" borderId="0" xfId="0" applyNumberFormat="1" applyFont="1" applyAlignment="1">
      <alignment horizontal="left" vertical="top"/>
    </xf>
    <xf numFmtId="0" fontId="1" fillId="0" borderId="0" xfId="0" applyNumberFormat="1" applyFont="1" applyAlignment="1">
      <alignment horizontal="center" vertical="top"/>
    </xf>
    <xf numFmtId="43" fontId="1" fillId="0" borderId="0" xfId="1" applyFont="1" applyFill="1" applyBorder="1" applyAlignment="1" applyProtection="1">
      <alignment horizontal="center" vertical="center"/>
    </xf>
    <xf numFmtId="176" fontId="0" fillId="0" borderId="0" xfId="0" applyAlignment="1">
      <alignment horizontal="left" vertical="center"/>
    </xf>
    <xf numFmtId="0" fontId="0" fillId="0" borderId="0" xfId="0" applyNumberFormat="1" applyAlignment="1">
      <alignment horizontal="center" vertical="center"/>
    </xf>
    <xf numFmtId="176" fontId="0" fillId="0" borderId="0" xfId="0" applyAlignment="1">
      <alignment horizontal="center" vertical="center"/>
    </xf>
    <xf numFmtId="176" fontId="10" fillId="0" borderId="0" xfId="135" applyNumberFormat="1" applyFont="1" applyBorder="1" applyAlignment="1">
      <alignment horizontal="center" vertical="center"/>
    </xf>
    <xf numFmtId="176" fontId="14" fillId="0" borderId="8" xfId="135" applyNumberFormat="1" applyFont="1" applyFill="1" applyBorder="1" applyAlignment="1">
      <alignment horizontal="center" vertical="center"/>
    </xf>
    <xf numFmtId="0" fontId="14" fillId="0" borderId="9" xfId="135" applyNumberFormat="1" applyFont="1" applyFill="1" applyBorder="1" applyAlignment="1">
      <alignment horizontal="center" vertical="center" wrapText="1"/>
    </xf>
    <xf numFmtId="0" fontId="14" fillId="0" borderId="10" xfId="135" applyNumberFormat="1" applyFont="1" applyFill="1" applyBorder="1" applyAlignment="1">
      <alignment horizontal="center" vertical="center"/>
    </xf>
    <xf numFmtId="43" fontId="14" fillId="0" borderId="10" xfId="1" applyFont="1" applyFill="1" applyBorder="1" applyAlignment="1">
      <alignment horizontal="center" vertical="center"/>
    </xf>
    <xf numFmtId="43" fontId="14" fillId="0" borderId="11" xfId="1" applyFont="1" applyFill="1" applyBorder="1" applyAlignment="1">
      <alignment horizontal="center" vertical="center"/>
    </xf>
    <xf numFmtId="0" fontId="2" fillId="0" borderId="9" xfId="135" applyNumberFormat="1" applyFont="1" applyFill="1" applyBorder="1" applyAlignment="1">
      <alignment horizontal="center" vertical="center"/>
    </xf>
    <xf numFmtId="0" fontId="2" fillId="0" borderId="10" xfId="135" applyNumberFormat="1" applyFont="1" applyFill="1" applyBorder="1" applyAlignment="1">
      <alignment horizontal="center" vertical="center"/>
    </xf>
    <xf numFmtId="43" fontId="2" fillId="0" borderId="10" xfId="1" applyFont="1" applyFill="1" applyBorder="1" applyAlignment="1">
      <alignment horizontal="center" vertical="center"/>
    </xf>
    <xf numFmtId="176" fontId="14" fillId="0" borderId="8" xfId="176" applyNumberFormat="1" applyFont="1" applyFill="1" applyBorder="1" applyAlignment="1">
      <alignment horizontal="left" vertical="center"/>
    </xf>
    <xf numFmtId="0" fontId="14" fillId="0" borderId="9" xfId="176" applyNumberFormat="1" applyFont="1" applyFill="1" applyBorder="1" applyAlignment="1">
      <alignment horizontal="center" vertical="center"/>
    </xf>
    <xf numFmtId="0" fontId="14" fillId="0" borderId="10" xfId="1" applyNumberFormat="1" applyFont="1" applyBorder="1" applyAlignment="1">
      <alignment horizontal="center" vertical="center"/>
    </xf>
    <xf numFmtId="43" fontId="14" fillId="0" borderId="10" xfId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0" fillId="0" borderId="0" xfId="136" applyNumberFormat="1" applyFont="1" applyBorder="1" applyAlignment="1">
      <alignment horizontal="center" vertical="center"/>
    </xf>
    <xf numFmtId="43" fontId="15" fillId="0" borderId="0" xfId="1" applyFont="1" applyAlignment="1">
      <alignment horizontal="center" vertical="center"/>
    </xf>
    <xf numFmtId="43" fontId="0" fillId="0" borderId="0" xfId="1" applyFont="1" applyAlignment="1">
      <alignment horizontal="center" vertical="center"/>
    </xf>
    <xf numFmtId="176" fontId="16" fillId="0" borderId="0" xfId="146" applyFont="1" applyAlignment="1">
      <alignment horizontal="center" vertical="center"/>
    </xf>
    <xf numFmtId="176" fontId="8" fillId="21" borderId="1" xfId="146" applyFont="1" applyFill="1" applyBorder="1" applyAlignment="1">
      <alignment horizontal="center" vertical="center"/>
    </xf>
    <xf numFmtId="176" fontId="8" fillId="5" borderId="1" xfId="146" applyFont="1" applyFill="1" applyBorder="1" applyAlignment="1">
      <alignment horizontal="center" vertical="center"/>
    </xf>
    <xf numFmtId="43" fontId="8" fillId="5" borderId="1" xfId="1" applyFont="1" applyFill="1" applyBorder="1" applyAlignment="1">
      <alignment horizontal="center" vertical="center"/>
    </xf>
    <xf numFmtId="57" fontId="8" fillId="10" borderId="1" xfId="146" applyNumberFormat="1" applyFont="1" applyFill="1" applyBorder="1" applyAlignment="1">
      <alignment horizontal="center" vertical="center"/>
    </xf>
    <xf numFmtId="176" fontId="1" fillId="10" borderId="1" xfId="146" applyFont="1" applyFill="1" applyBorder="1" applyAlignment="1">
      <alignment horizontal="center" vertical="center"/>
    </xf>
    <xf numFmtId="41" fontId="1" fillId="0" borderId="1" xfId="1" applyNumberFormat="1" applyFont="1" applyBorder="1" applyAlignment="1">
      <alignment horizontal="center" vertical="center"/>
    </xf>
    <xf numFmtId="43" fontId="1" fillId="0" borderId="1" xfId="1" applyFont="1" applyBorder="1" applyAlignment="1">
      <alignment horizontal="center" vertical="center"/>
    </xf>
    <xf numFmtId="176" fontId="1" fillId="0" borderId="0" xfId="146" applyNumberFormat="1" applyFont="1">
      <alignment vertical="center"/>
    </xf>
    <xf numFmtId="176" fontId="8" fillId="10" borderId="1" xfId="146" applyFont="1" applyFill="1" applyBorder="1" applyAlignment="1">
      <alignment horizontal="center" vertical="center"/>
    </xf>
    <xf numFmtId="176" fontId="1" fillId="11" borderId="1" xfId="146" applyFont="1" applyFill="1" applyBorder="1" applyAlignment="1">
      <alignment horizontal="center" vertical="center"/>
    </xf>
    <xf numFmtId="41" fontId="1" fillId="11" borderId="1" xfId="1" applyNumberFormat="1" applyFont="1" applyFill="1" applyBorder="1" applyAlignment="1">
      <alignment horizontal="center" vertical="center"/>
    </xf>
    <xf numFmtId="43" fontId="1" fillId="11" borderId="1" xfId="1" applyFont="1" applyFill="1" applyBorder="1" applyAlignment="1">
      <alignment horizontal="center" vertical="center"/>
    </xf>
    <xf numFmtId="176" fontId="1" fillId="0" borderId="0" xfId="146" applyNumberFormat="1" applyFont="1" applyFill="1">
      <alignment vertical="center"/>
    </xf>
    <xf numFmtId="57" fontId="8" fillId="13" borderId="1" xfId="146" applyNumberFormat="1" applyFont="1" applyFill="1" applyBorder="1" applyAlignment="1">
      <alignment horizontal="center" vertical="center"/>
    </xf>
    <xf numFmtId="43" fontId="1" fillId="0" borderId="1" xfId="177" applyFont="1" applyBorder="1" applyAlignment="1">
      <alignment horizontal="center" vertical="center"/>
    </xf>
    <xf numFmtId="176" fontId="8" fillId="13" borderId="1" xfId="146" applyFont="1" applyFill="1" applyBorder="1" applyAlignment="1">
      <alignment horizontal="center" vertical="center"/>
    </xf>
    <xf numFmtId="43" fontId="17" fillId="0" borderId="0" xfId="146" applyNumberFormat="1" applyFont="1">
      <alignment vertical="center"/>
    </xf>
    <xf numFmtId="43" fontId="1" fillId="0" borderId="0" xfId="1" applyFont="1">
      <alignment vertical="top"/>
    </xf>
    <xf numFmtId="43" fontId="8" fillId="21" borderId="1" xfId="1" applyFont="1" applyFill="1" applyBorder="1" applyAlignment="1">
      <alignment horizontal="center" vertical="center"/>
    </xf>
    <xf numFmtId="43" fontId="1" fillId="0" borderId="0" xfId="146" applyNumberFormat="1" applyFont="1">
      <alignment vertical="center"/>
    </xf>
    <xf numFmtId="43" fontId="1" fillId="0" borderId="0" xfId="146" applyNumberFormat="1" applyFont="1" applyFill="1">
      <alignment vertical="center"/>
    </xf>
    <xf numFmtId="176" fontId="12" fillId="0" borderId="0" xfId="1" applyNumberFormat="1" applyFont="1" applyAlignment="1">
      <alignment horizontal="center" vertical="center"/>
    </xf>
    <xf numFmtId="176" fontId="12" fillId="0" borderId="0" xfId="146" applyNumberFormat="1" applyFont="1" applyAlignment="1">
      <alignment horizontal="center" vertical="center"/>
    </xf>
    <xf numFmtId="43" fontId="1" fillId="0" borderId="0" xfId="0" applyNumberFormat="1" applyFont="1" applyAlignment="1" applyProtection="1">
      <alignment horizontal="center" vertical="center"/>
    </xf>
    <xf numFmtId="176" fontId="0" fillId="0" borderId="0" xfId="0" applyProtection="1">
      <alignment vertical="top"/>
    </xf>
    <xf numFmtId="176" fontId="0" fillId="0" borderId="0" xfId="0" applyAlignment="1" applyProtection="1">
      <alignment horizontal="center" vertical="center"/>
    </xf>
    <xf numFmtId="0" fontId="0" fillId="0" borderId="0" xfId="0" applyNumberFormat="1" applyAlignment="1" applyProtection="1">
      <alignment horizontal="center" vertical="center"/>
    </xf>
    <xf numFmtId="176" fontId="18" fillId="0" borderId="0" xfId="0" applyNumberFormat="1" applyFont="1" applyAlignment="1" applyProtection="1">
      <alignment horizontal="left" vertical="center" wrapText="1" readingOrder="1"/>
    </xf>
    <xf numFmtId="176" fontId="18" fillId="0" borderId="0" xfId="0" applyNumberFormat="1" applyFont="1" applyAlignment="1" applyProtection="1">
      <alignment horizontal="center" vertical="center" wrapText="1" readingOrder="1"/>
    </xf>
    <xf numFmtId="176" fontId="19" fillId="22" borderId="12" xfId="0" applyNumberFormat="1" applyFont="1" applyFill="1" applyBorder="1" applyAlignment="1" applyProtection="1">
      <alignment horizontal="center" vertical="center" wrapText="1" readingOrder="1"/>
    </xf>
    <xf numFmtId="0" fontId="19" fillId="22" borderId="12" xfId="0" applyNumberFormat="1" applyFont="1" applyFill="1" applyBorder="1" applyAlignment="1" applyProtection="1">
      <alignment horizontal="center" vertical="center" wrapText="1" readingOrder="1"/>
    </xf>
    <xf numFmtId="43" fontId="19" fillId="22" borderId="12" xfId="1" applyFont="1" applyFill="1" applyBorder="1" applyAlignment="1" applyProtection="1">
      <alignment horizontal="center" vertical="center" wrapText="1" readingOrder="1"/>
    </xf>
    <xf numFmtId="176" fontId="2" fillId="11" borderId="13" xfId="0" applyNumberFormat="1" applyFont="1" applyFill="1" applyBorder="1" applyAlignment="1" applyProtection="1">
      <alignment horizontal="center" vertical="center" wrapText="1" readingOrder="1"/>
    </xf>
    <xf numFmtId="176" fontId="2" fillId="0" borderId="13" xfId="0" applyNumberFormat="1" applyFont="1" applyBorder="1" applyAlignment="1" applyProtection="1">
      <alignment horizontal="center" vertical="center" wrapText="1" readingOrder="1"/>
    </xf>
    <xf numFmtId="0" fontId="2" fillId="0" borderId="12" xfId="1" applyNumberFormat="1" applyFont="1" applyBorder="1" applyAlignment="1" applyProtection="1">
      <alignment horizontal="center" vertical="center" wrapText="1" readingOrder="1"/>
    </xf>
    <xf numFmtId="43" fontId="2" fillId="0" borderId="12" xfId="1" applyFont="1" applyBorder="1" applyAlignment="1" applyProtection="1">
      <alignment horizontal="right" vertical="center" wrapText="1" readingOrder="1"/>
    </xf>
    <xf numFmtId="176" fontId="2" fillId="11" borderId="14" xfId="0" applyNumberFormat="1" applyFont="1" applyFill="1" applyBorder="1" applyAlignment="1" applyProtection="1">
      <alignment horizontal="center" vertical="center" wrapText="1" readingOrder="1"/>
    </xf>
    <xf numFmtId="0" fontId="2" fillId="11" borderId="14" xfId="1" applyNumberFormat="1" applyFont="1" applyFill="1" applyBorder="1" applyAlignment="1" applyProtection="1">
      <alignment horizontal="center" vertical="center" wrapText="1" readingOrder="1"/>
    </xf>
    <xf numFmtId="43" fontId="2" fillId="11" borderId="14" xfId="1" applyFont="1" applyFill="1" applyBorder="1" applyAlignment="1" applyProtection="1">
      <alignment horizontal="right" vertical="center" wrapText="1" readingOrder="1"/>
    </xf>
    <xf numFmtId="176" fontId="2" fillId="5" borderId="15" xfId="0" applyNumberFormat="1" applyFont="1" applyFill="1" applyBorder="1" applyAlignment="1" applyProtection="1">
      <alignment horizontal="center" vertical="center" wrapText="1" readingOrder="1"/>
    </xf>
    <xf numFmtId="176" fontId="2" fillId="0" borderId="12" xfId="0" applyNumberFormat="1" applyFont="1" applyBorder="1" applyAlignment="1" applyProtection="1">
      <alignment horizontal="center" vertical="center" wrapText="1" readingOrder="1"/>
    </xf>
    <xf numFmtId="176" fontId="2" fillId="5" borderId="16" xfId="0" applyNumberFormat="1" applyFont="1" applyFill="1" applyBorder="1" applyAlignment="1" applyProtection="1">
      <alignment horizontal="center" vertical="center" wrapText="1" readingOrder="1"/>
    </xf>
    <xf numFmtId="176" fontId="2" fillId="5" borderId="14" xfId="0" applyNumberFormat="1" applyFont="1" applyFill="1" applyBorder="1" applyAlignment="1" applyProtection="1">
      <alignment horizontal="center" vertical="center" wrapText="1" readingOrder="1"/>
    </xf>
    <xf numFmtId="0" fontId="2" fillId="5" borderId="14" xfId="1" applyNumberFormat="1" applyFont="1" applyFill="1" applyBorder="1" applyAlignment="1" applyProtection="1">
      <alignment horizontal="center" vertical="center" wrapText="1" readingOrder="1"/>
    </xf>
    <xf numFmtId="43" fontId="2" fillId="5" borderId="14" xfId="1" applyFont="1" applyFill="1" applyBorder="1" applyAlignment="1" applyProtection="1">
      <alignment horizontal="right" vertical="center" wrapText="1" readingOrder="1"/>
    </xf>
    <xf numFmtId="176" fontId="2" fillId="23" borderId="15" xfId="0" applyNumberFormat="1" applyFont="1" applyFill="1" applyBorder="1" applyAlignment="1" applyProtection="1">
      <alignment horizontal="center" vertical="center" wrapText="1" readingOrder="1"/>
    </xf>
    <xf numFmtId="176" fontId="2" fillId="23" borderId="17" xfId="0" applyNumberFormat="1" applyFont="1" applyFill="1" applyBorder="1" applyAlignment="1" applyProtection="1">
      <alignment horizontal="center" vertical="center" wrapText="1" readingOrder="1"/>
    </xf>
    <xf numFmtId="176" fontId="2" fillId="23" borderId="18" xfId="0" applyNumberFormat="1" applyFont="1" applyFill="1" applyBorder="1" applyAlignment="1" applyProtection="1">
      <alignment horizontal="center" vertical="center" wrapText="1" readingOrder="1"/>
    </xf>
    <xf numFmtId="0" fontId="2" fillId="23" borderId="18" xfId="1" applyNumberFormat="1" applyFont="1" applyFill="1" applyBorder="1" applyAlignment="1" applyProtection="1">
      <alignment horizontal="center" vertical="center" wrapText="1" readingOrder="1"/>
    </xf>
    <xf numFmtId="43" fontId="2" fillId="23" borderId="18" xfId="1" applyFont="1" applyFill="1" applyBorder="1" applyAlignment="1" applyProtection="1">
      <alignment horizontal="right" vertical="center" wrapText="1" readingOrder="1"/>
    </xf>
    <xf numFmtId="176" fontId="2" fillId="22" borderId="17" xfId="0" applyNumberFormat="1" applyFont="1" applyFill="1" applyBorder="1" applyAlignment="1" applyProtection="1">
      <alignment horizontal="center" vertical="center" wrapText="1" readingOrder="1"/>
    </xf>
    <xf numFmtId="0" fontId="2" fillId="22" borderId="17" xfId="1" applyNumberFormat="1" applyFont="1" applyFill="1" applyBorder="1" applyAlignment="1" applyProtection="1">
      <alignment horizontal="center" vertical="center" wrapText="1" readingOrder="1"/>
    </xf>
    <xf numFmtId="43" fontId="2" fillId="22" borderId="17" xfId="1" applyFont="1" applyFill="1" applyBorder="1" applyAlignment="1" applyProtection="1">
      <alignment horizontal="right" vertical="center" wrapText="1" readingOrder="1"/>
    </xf>
    <xf numFmtId="43" fontId="1" fillId="0" borderId="0" xfId="1" applyNumberFormat="1" applyFont="1" applyAlignment="1" applyProtection="1">
      <alignment horizontal="center" vertical="center"/>
    </xf>
    <xf numFmtId="43" fontId="1" fillId="0" borderId="1" xfId="1" applyFont="1" applyFill="1" applyBorder="1" applyAlignment="1" applyProtection="1" quotePrefix="1">
      <alignment horizontal="center" vertical="center"/>
    </xf>
    <xf numFmtId="197" fontId="1" fillId="0" borderId="1" xfId="1" applyNumberFormat="1" applyFont="1" applyFill="1" applyBorder="1" applyAlignment="1" applyProtection="1" quotePrefix="1">
      <alignment horizontal="center" vertical="center"/>
    </xf>
    <xf numFmtId="176" fontId="1" fillId="0" borderId="5" xfId="1" applyNumberFormat="1" applyFont="1" applyFill="1" applyBorder="1" applyAlignment="1" quotePrefix="1">
      <alignment horizontal="center" vertical="center"/>
    </xf>
    <xf numFmtId="176" fontId="1" fillId="0" borderId="2" xfId="1" applyNumberFormat="1" applyFont="1" applyFill="1" applyBorder="1" applyAlignment="1" quotePrefix="1">
      <alignment horizontal="center" vertical="center"/>
    </xf>
    <xf numFmtId="176" fontId="1" fillId="0" borderId="0" xfId="0" applyNumberFormat="1" applyFont="1" applyFill="1" applyAlignment="1" quotePrefix="1">
      <alignment horizontal="center" vertical="center"/>
    </xf>
    <xf numFmtId="0" fontId="4" fillId="17" borderId="3" xfId="0" applyNumberFormat="1" applyFont="1" applyFill="1" applyBorder="1" applyAlignment="1" applyProtection="1" quotePrefix="1">
      <alignment horizontal="center" vertical="center"/>
    </xf>
  </cellXfs>
  <cellStyles count="20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 3]_x000d__x000a_Zoomed=1_x000d__x000a_Row=128_x000d__x000a_Column=101_x000d__x000a_Height=300_x000d__x000a_Width=301_x000d__x000a_FontName=System_x000d__x000a_FontStyle=1_x000d__x000a_FontSize=12_x000d__x000a_PrtFontNa" xfId="49"/>
    <cellStyle name="_x000d__x000a_CCAPI200.DLL=C:\WINDOWS\SYSTEM\, Can't find CCAPI200.DLL_x000d__x000a_XLHELP.DLL=C:\MSOFFICE\EXCEL_x000d__x000a_MAI 2 2" xfId="50"/>
    <cellStyle name="_ET_STYLE_NoName_00_ 2 3" xfId="51"/>
    <cellStyle name="_ET_STYLE_NoName_-22_" xfId="52"/>
    <cellStyle name="_出货量业绩" xfId="53"/>
    <cellStyle name="0,0_x000d__x000a_NA_x000d__x000a_" xfId="54"/>
    <cellStyle name="0,0_x000d__x000a_NA_x000d__x000a_ 2" xfId="55"/>
    <cellStyle name="0,0_x000d__x000a_NA_x000d__x000a_ 2 3 3" xfId="56"/>
    <cellStyle name="20% - 강조색1" xfId="57"/>
    <cellStyle name="20% - 强调文字颜色 1 2" xfId="58"/>
    <cellStyle name="20% - 强调文字颜色 1 5" xfId="59"/>
    <cellStyle name="20% - 强调文字颜色 2 2" xfId="60"/>
    <cellStyle name="20% - 强调文字颜色 2 3 2 3" xfId="61"/>
    <cellStyle name="20% - 强调文字颜色 2 5" xfId="62"/>
    <cellStyle name="20% - 强调文字颜色 3 2" xfId="63"/>
    <cellStyle name="20% - 强调文字颜色 3 5" xfId="64"/>
    <cellStyle name="20% - 强调文字颜色 4 2" xfId="65"/>
    <cellStyle name="20% - 强调文字颜色 6 2" xfId="66"/>
    <cellStyle name="3???á′?ó" xfId="67"/>
    <cellStyle name="3￡1?_??±¨±í" xfId="68"/>
    <cellStyle name="40% - 强调文字颜色 1 2" xfId="69"/>
    <cellStyle name="40% - 强调文字颜色 3 2" xfId="70"/>
    <cellStyle name="40% - 强调文字颜色 3 5" xfId="71"/>
    <cellStyle name="40% - 强调文字颜色 4 5" xfId="72"/>
    <cellStyle name="40% - 强调文字颜色 6 2" xfId="73"/>
    <cellStyle name="60% - 强调文字颜色 1 2" xfId="74"/>
    <cellStyle name="60% - 强调文字颜色 1 3 2 3" xfId="75"/>
    <cellStyle name="60% - 强调文字颜色 2 2" xfId="76"/>
    <cellStyle name="60% - 强调文字颜色 2 5" xfId="77"/>
    <cellStyle name="60% - 强调文字颜色 3 2" xfId="78"/>
    <cellStyle name="60% - 强调文字颜色 3 3 2 3" xfId="79"/>
    <cellStyle name="60% - 强调文字颜色 3 5" xfId="80"/>
    <cellStyle name="60% - 强调文字颜色 4 2" xfId="81"/>
    <cellStyle name="60% - 强调文字颜色 4 3 2 3" xfId="82"/>
    <cellStyle name="60% - 强调文字颜色 5 2" xfId="83"/>
    <cellStyle name="60% - 强调文字颜色 5 5" xfId="84"/>
    <cellStyle name="60% - 强调文字颜色 6 2" xfId="85"/>
    <cellStyle name="Comma [0]_Israel&amp;Safr" xfId="86"/>
    <cellStyle name="Comma 2" xfId="87"/>
    <cellStyle name="Comma 2 2" xfId="88"/>
    <cellStyle name="Comma 2 2 2" xfId="89"/>
    <cellStyle name="Comma 4" xfId="90"/>
    <cellStyle name="comma zerodec" xfId="91"/>
    <cellStyle name="Currency [0]_Israel&amp;Safr" xfId="92"/>
    <cellStyle name="Currency_Israel&amp;Safr" xfId="93"/>
    <cellStyle name="Currency1" xfId="94"/>
    <cellStyle name="Dollar (zero dec)" xfId="95"/>
    <cellStyle name="Header1" xfId="96"/>
    <cellStyle name="Header2" xfId="97"/>
    <cellStyle name="Normal" xfId="98"/>
    <cellStyle name="Normal 11" xfId="99"/>
    <cellStyle name="Normal 2 10" xfId="100"/>
    <cellStyle name="Normal_Certs Q2" xfId="101"/>
    <cellStyle name="ò?°?_PERSONAL" xfId="102"/>
    <cellStyle name="oó?ì3???á′?ó" xfId="103"/>
    <cellStyle name="TableCell" xfId="104"/>
    <cellStyle name="籵_laroux" xfId="105"/>
    <cellStyle name="강조색1" xfId="106"/>
    <cellStyle name="강조색2" xfId="107"/>
    <cellStyle name="강조색4" xfId="108"/>
    <cellStyle name="标题 1 2" xfId="109"/>
    <cellStyle name="标题 1 3 2 3" xfId="110"/>
    <cellStyle name="标题 1 5" xfId="111"/>
    <cellStyle name="标题 10" xfId="112"/>
    <cellStyle name="标题 2 2" xfId="113"/>
    <cellStyle name="标题 2 3 2 3" xfId="114"/>
    <cellStyle name="标题 2 5" xfId="115"/>
    <cellStyle name="标题 3 2" xfId="116"/>
    <cellStyle name="标题 3 3 2 3" xfId="117"/>
    <cellStyle name="标题 3 5" xfId="118"/>
    <cellStyle name="标题 4 2" xfId="119"/>
    <cellStyle name="标题 4 3 2 3" xfId="120"/>
    <cellStyle name="标题 4 5" xfId="121"/>
    <cellStyle name="标题 6 2 3" xfId="122"/>
    <cellStyle name="标题 8" xfId="123"/>
    <cellStyle name="差 2" xfId="124"/>
    <cellStyle name="差 3 2 3" xfId="125"/>
    <cellStyle name="差 5" xfId="126"/>
    <cellStyle name="差_蜂驰信息" xfId="127"/>
    <cellStyle name="差_付款明细" xfId="128"/>
    <cellStyle name="常规 10" xfId="129"/>
    <cellStyle name="常规 10 15" xfId="130"/>
    <cellStyle name="常规 10 2 3" xfId="131"/>
    <cellStyle name="常规 11 11" xfId="132"/>
    <cellStyle name="常规 12 8" xfId="133"/>
    <cellStyle name="常规 16" xfId="134"/>
    <cellStyle name="常规 2" xfId="135"/>
    <cellStyle name="常规 2 3" xfId="136"/>
    <cellStyle name="常规 2 32" xfId="137"/>
    <cellStyle name="常规 2 7" xfId="138"/>
    <cellStyle name="常规 23 4" xfId="139"/>
    <cellStyle name="常规 32 3" xfId="140"/>
    <cellStyle name="常规 4 2 2 2 4" xfId="141"/>
    <cellStyle name="常规 74" xfId="142"/>
    <cellStyle name="常规 75" xfId="143"/>
    <cellStyle name="常规 83" xfId="144"/>
    <cellStyle name="常规 85" xfId="145"/>
    <cellStyle name="常规_Book1" xfId="146"/>
    <cellStyle name="常规_工资表-海外销售中心境外人员" xfId="147"/>
    <cellStyle name="超级链接_Book4" xfId="148"/>
    <cellStyle name="超链接 11" xfId="149"/>
    <cellStyle name="超链接 12" xfId="150"/>
    <cellStyle name="超链接 13" xfId="151"/>
    <cellStyle name="超链接 2 10" xfId="152"/>
    <cellStyle name="超链接 2 7" xfId="153"/>
    <cellStyle name="超链接 4 2" xfId="154"/>
    <cellStyle name="超链接 8 2" xfId="155"/>
    <cellStyle name="好 2" xfId="156"/>
    <cellStyle name="好_付款明细" xfId="157"/>
    <cellStyle name="汇总 2" xfId="158"/>
    <cellStyle name="汇总 3 2 3" xfId="159"/>
    <cellStyle name="汇总 5" xfId="160"/>
    <cellStyle name="貨幣 [0]_C&amp;N ac notes 2001-07" xfId="161"/>
    <cellStyle name="貨幣_C&amp;N ac notes 2001-07" xfId="162"/>
    <cellStyle name="计算 2" xfId="163"/>
    <cellStyle name="计算 3 2 3" xfId="164"/>
    <cellStyle name="计算 5" xfId="165"/>
    <cellStyle name="检查单元格 2" xfId="166"/>
    <cellStyle name="解释性文本 2" xfId="167"/>
    <cellStyle name="警告文本 2" xfId="168"/>
    <cellStyle name="链接单元格 2" xfId="169"/>
    <cellStyle name="链接单元格 5" xfId="170"/>
    <cellStyle name="霓付 [0]_4瞒俊辑 柯 5瞒" xfId="171"/>
    <cellStyle name="霓付_4瞒俊辑 柯 5瞒" xfId="172"/>
    <cellStyle name="烹拳 [0]_4瞒俊辑 柯 5瞒" xfId="173"/>
    <cellStyle name="烹拳_4瞒俊辑 柯 5瞒" xfId="174"/>
    <cellStyle name="千位分隔 18" xfId="175"/>
    <cellStyle name="千位分隔 2" xfId="176"/>
    <cellStyle name="千位分隔 2 2 2" xfId="177"/>
    <cellStyle name="千位分隔 2 2 2 2" xfId="178"/>
    <cellStyle name="钎霖_3八脚没" xfId="179"/>
    <cellStyle name="强调文字颜色 1 2" xfId="180"/>
    <cellStyle name="强调文字颜色 1 5" xfId="181"/>
    <cellStyle name="强调文字颜色 2 2" xfId="182"/>
    <cellStyle name="强调文字颜色 2 5" xfId="183"/>
    <cellStyle name="强调文字颜色 3 2" xfId="184"/>
    <cellStyle name="强调文字颜色 3 5" xfId="185"/>
    <cellStyle name="强调文字颜色 4 3 2 3" xfId="186"/>
    <cellStyle name="强调文字颜色 4 5" xfId="187"/>
    <cellStyle name="强调文字颜色 5 5" xfId="188"/>
    <cellStyle name="入职日期" xfId="189"/>
    <cellStyle name="入职日期 2" xfId="190"/>
    <cellStyle name="入职日期 3" xfId="191"/>
    <cellStyle name="适中 2" xfId="192"/>
    <cellStyle name="适中 5" xfId="193"/>
    <cellStyle name="输出 2" xfId="194"/>
    <cellStyle name="输出 3 2 3" xfId="195"/>
    <cellStyle name="输入 2" xfId="196"/>
    <cellStyle name="数据 16 5" xfId="197"/>
    <cellStyle name="메모" xfId="198"/>
    <cellStyle name="样式 1" xfId="199"/>
    <cellStyle name="样式 1 2 10" xfId="200"/>
    <cellStyle name="一般_Book1" xfId="201"/>
    <cellStyle name="億啟[0]_laroux" xfId="202"/>
    <cellStyle name="億啟_laroux" xfId="203"/>
    <cellStyle name="億啞閇0]_laroux" xfId="204"/>
    <cellStyle name="億啞開laroux" xfId="205"/>
    <cellStyle name="常规 11" xfId="206"/>
  </cellStyles>
  <dxfs count="3">
    <dxf>
      <fill>
        <patternFill patternType="solid">
          <bgColor rgb="FFFF9900"/>
        </patternFill>
      </fill>
    </dxf>
    <dxf>
      <font>
        <color indexed="20"/>
      </font>
      <fill>
        <patternFill patternType="solid">
          <bgColor indexed="45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  <mruColors>
      <color rgb="00F8CBAD"/>
      <color rgb="00D9D9D9"/>
      <color rgb="00FF0000"/>
      <color rgb="000066FF"/>
      <color rgb="00000000"/>
      <color rgb="00FFFF00"/>
      <color rgb="00FFC000"/>
      <color rgb="00F2E9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externalLink" Target="externalLinks/externalLink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751840</xdr:colOff>
      <xdr:row>25</xdr:row>
      <xdr:rowOff>98425</xdr:rowOff>
    </xdr:from>
    <xdr:to>
      <xdr:col>6</xdr:col>
      <xdr:colOff>760095</xdr:colOff>
      <xdr:row>31</xdr:row>
      <xdr:rowOff>68580</xdr:rowOff>
    </xdr:to>
    <xdr:pic>
      <xdr:nvPicPr>
        <xdr:cNvPr id="409596" name="图片 133121" descr="rId1"/>
        <xdr:cNvPicPr>
          <a:picLocks noChangeAspect="1"/>
        </xdr:cNvPicPr>
      </xdr:nvPicPr>
      <xdr:blipFill>
        <a:blip r:embed="rId1">
          <a:lum/>
        </a:blip>
        <a:stretch>
          <a:fillRect/>
        </a:stretch>
      </xdr:blipFill>
      <xdr:spPr>
        <a:xfrm>
          <a:off x="1790065" y="5648325"/>
          <a:ext cx="3103880" cy="1185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714375</xdr:colOff>
      <xdr:row>10</xdr:row>
      <xdr:rowOff>112395</xdr:rowOff>
    </xdr:from>
    <xdr:to>
      <xdr:col>7</xdr:col>
      <xdr:colOff>39370</xdr:colOff>
      <xdr:row>23</xdr:row>
      <xdr:rowOff>144780</xdr:rowOff>
    </xdr:to>
    <xdr:pic>
      <xdr:nvPicPr>
        <xdr:cNvPr id="2" name="图片 1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1752600" y="2623820"/>
          <a:ext cx="3239770" cy="26657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8.210\&#20154;&#21147;&#36164;&#28304;&#37096;\3-&#20154;&#20107;&#31649;&#29702;\1-&#20844;&#21496;&#33457;&#21517;&#20876;\&#25968;&#23383;&#20844;&#21496;&#19978;&#25253;&#38598;&#22242;&#21592;&#24037;&#20449;&#24687;&#32479;&#35745;&#34920;\2014&#24180;\3&#26376;&#21019;&#32500;&#38598;&#22242;&#21592;&#24037;&#20449;&#24687;&#32479;&#35745;&#34920;-&#25968;&#23383;&#20844;&#21496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员工信息统计表"/>
      <sheetName val="1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4" tint="-0.499984740745262"/>
    <pageSetUpPr fitToPage="1"/>
  </sheetPr>
  <dimension ref="A1:AH57"/>
  <sheetViews>
    <sheetView showGridLines="0" tabSelected="1" workbookViewId="0">
      <pane xSplit="3" ySplit="2" topLeftCell="D3" activePane="bottomRight" state="frozen"/>
      <selection/>
      <selection pane="topRight"/>
      <selection pane="bottomLeft"/>
      <selection pane="bottomRight" activeCell="G13" sqref="G13"/>
    </sheetView>
  </sheetViews>
  <sheetFormatPr defaultColWidth="9.14285714285714" defaultRowHeight="28.5" customHeight="1"/>
  <cols>
    <col min="1" max="1" width="7.57142857142857" style="314" customWidth="1"/>
    <col min="2" max="2" width="20.4285714285714" style="315" customWidth="1"/>
    <col min="3" max="3" width="12.5714285714286" style="316" customWidth="1"/>
    <col min="4" max="4" width="18.4285714285714" style="314" customWidth="1"/>
    <col min="5" max="5" width="13.5714285714286" style="314" customWidth="1"/>
    <col min="6" max="6" width="13.5714285714286" style="314" hidden="1" customWidth="1"/>
    <col min="7" max="7" width="13.5714285714286" style="314" customWidth="1"/>
    <col min="8" max="8" width="13.5714285714286" style="314" hidden="1" customWidth="1"/>
    <col min="9" max="9" width="17.1428571428571" style="314" customWidth="1"/>
    <col min="10" max="12" width="14.7142857142857" style="314" customWidth="1"/>
    <col min="13" max="16" width="14.7142857142857" style="314" hidden="1" customWidth="1"/>
    <col min="17" max="17" width="14.2857142857143" style="314" hidden="1" customWidth="1"/>
    <col min="18" max="20" width="18.4285714285714" style="314" customWidth="1"/>
    <col min="21" max="31" width="15.4285714285714" style="314" customWidth="1"/>
    <col min="32" max="34" width="9.14285714285714" style="314"/>
    <col min="35" max="35" width="13.5714285714286" style="314"/>
    <col min="36" max="16384" width="9.14285714285714" style="314"/>
  </cols>
  <sheetData>
    <row r="1" ht="38.1" customHeight="1" spans="1:34">
      <c r="A1" s="317" t="s">
        <v>0</v>
      </c>
      <c r="B1" s="318"/>
      <c r="C1" s="318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</row>
    <row r="2" customHeight="1" spans="1:34">
      <c r="A2" s="319" t="s">
        <v>1</v>
      </c>
      <c r="B2" s="319" t="s">
        <v>2</v>
      </c>
      <c r="C2" s="320" t="s">
        <v>3</v>
      </c>
      <c r="D2" s="321" t="s">
        <v>4</v>
      </c>
      <c r="E2" s="321" t="s">
        <v>5</v>
      </c>
      <c r="F2" s="321" t="s">
        <v>6</v>
      </c>
      <c r="G2" s="321" t="s">
        <v>7</v>
      </c>
      <c r="H2" s="321" t="s">
        <v>8</v>
      </c>
      <c r="I2" s="321" t="s">
        <v>9</v>
      </c>
      <c r="J2" s="321" t="s">
        <v>10</v>
      </c>
      <c r="K2" s="321" t="s">
        <v>11</v>
      </c>
      <c r="L2" s="321" t="s">
        <v>12</v>
      </c>
      <c r="M2" s="321" t="s">
        <v>13</v>
      </c>
      <c r="N2" s="321" t="s">
        <v>14</v>
      </c>
      <c r="O2" s="321" t="s">
        <v>15</v>
      </c>
      <c r="P2" s="321" t="s">
        <v>16</v>
      </c>
      <c r="Q2" s="321" t="s">
        <v>17</v>
      </c>
      <c r="R2" s="321" t="s">
        <v>18</v>
      </c>
      <c r="S2" s="321" t="s">
        <v>19</v>
      </c>
      <c r="T2" s="321" t="s">
        <v>20</v>
      </c>
      <c r="U2" s="321" t="s">
        <v>21</v>
      </c>
      <c r="V2" s="321" t="s">
        <v>22</v>
      </c>
      <c r="W2" s="321" t="s">
        <v>23</v>
      </c>
      <c r="X2" s="321" t="s">
        <v>24</v>
      </c>
      <c r="Y2" s="321" t="s">
        <v>25</v>
      </c>
      <c r="Z2" s="321" t="s">
        <v>26</v>
      </c>
      <c r="AA2" s="321" t="s">
        <v>27</v>
      </c>
      <c r="AB2" s="321" t="s">
        <v>28</v>
      </c>
      <c r="AC2" s="321" t="s">
        <v>29</v>
      </c>
      <c r="AD2" s="321" t="s">
        <v>30</v>
      </c>
      <c r="AE2" s="321" t="s">
        <v>31</v>
      </c>
    </row>
    <row r="3" ht="18.75" customHeight="1" spans="1:34">
      <c r="A3" s="322" t="s">
        <v>32</v>
      </c>
      <c r="B3" s="323" t="s">
        <v>33</v>
      </c>
      <c r="C3" s="324">
        <f>SUMIF(工资表明细!$J$2:$J$82,$B3,工资表明细!L$2:L$82)</f>
        <v>14</v>
      </c>
      <c r="D3" s="325">
        <f>SUMIF(工资表明细!$J$3:$J$82,$B3,工资表明细!P$3:P$82)</f>
        <v>246000</v>
      </c>
      <c r="E3" s="325">
        <f>SUMIF(工资表明细!$J$3:$J$82,$B3,工资表明细!Q$3:Q$82)</f>
        <v>0</v>
      </c>
      <c r="F3" s="325">
        <f>SUMIF(工资表明细!$J$3:$J$82,$B3,工资表明细!R$3:R$82)</f>
        <v>0</v>
      </c>
      <c r="G3" s="325">
        <f>SUMIF(工资表明细!$J$3:$J$82,$B3,工资表明细!S$3:S$82)</f>
        <v>0</v>
      </c>
      <c r="H3" s="325">
        <f>SUMIF(工资表明细!$J$3:$J$82,$B3,工资表明细!T$3:T$82)</f>
        <v>0</v>
      </c>
      <c r="I3" s="325">
        <f>SUMIF(工资表明细!$J$3:$J$82,$B3,工资表明细!U$3:U$82)</f>
        <v>6206.9</v>
      </c>
      <c r="J3" s="325">
        <f>SUMIF(工资表明细!$J$3:$J$82,$B3,工资表明细!V$3:V$82)</f>
        <v>0</v>
      </c>
      <c r="K3" s="325">
        <f>SUMIF(工资表明细!$J$3:$J$82,$B3,工资表明细!W$3:W$82)</f>
        <v>0</v>
      </c>
      <c r="L3" s="325">
        <f>SUMIF(工资表明细!$J$3:$J$82,$B3,工资表明细!X$3:X$82)</f>
        <v>0</v>
      </c>
      <c r="M3" s="325">
        <f>SUMIF(工资表明细!$J$3:$J$82,$B3,工资表明细!Y$3:Y$82)</f>
        <v>0</v>
      </c>
      <c r="N3" s="325">
        <f>SUMIF(工资表明细!$J$3:$J$82,$B3,工资表明细!Z$3:Z$82)</f>
        <v>0</v>
      </c>
      <c r="O3" s="325">
        <f>SUMIF(工资表明细!$J$3:$J$82,$B3,工资表明细!AA$3:AA$82)</f>
        <v>0</v>
      </c>
      <c r="P3" s="325">
        <f>SUMIF(工资表明细!$J$3:$J$82,$B3,工资表明细!AB$3:AB$82)</f>
        <v>0</v>
      </c>
      <c r="Q3" s="325">
        <f>SUMIF(工资表明细!$J$3:$J$82,$B3,工资表明细!AC$3:AC$82)</f>
        <v>0</v>
      </c>
      <c r="R3" s="325">
        <f>SUMIF(工资表明细!$J$3:$J$82,$B3,工资表明细!AD$3:AD$82)</f>
        <v>0</v>
      </c>
      <c r="S3" s="325">
        <f>SUMIF(工资表明细!$J$3:$J$82,$B3,工资表明细!AE$3:AE$82)</f>
        <v>0</v>
      </c>
      <c r="T3" s="325">
        <f>SUMIF(工资表明细!$J$3:$J$82,$B3,工资表明细!AF$3:AF$82)</f>
        <v>239793.1</v>
      </c>
      <c r="U3" s="325">
        <f>SUMIF(工资表明细!$J$3:$J$82,$B3,工资表明细!AG$3:AG$82)</f>
        <v>0</v>
      </c>
      <c r="V3" s="325">
        <f>SUMIF(工资表明细!$J$3:$J$82,$B3,工资表明细!AH$3:AH$82)</f>
        <v>0</v>
      </c>
      <c r="W3" s="325">
        <f>SUMIF(工资表明细!$J$3:$J$82,$B3,工资表明细!AI$3:AI$82)</f>
        <v>0</v>
      </c>
      <c r="X3" s="325">
        <f>SUMIF(工资表明细!$J$3:$J$82,$B3,工资表明细!AJ$3:AJ$82)</f>
        <v>-1840</v>
      </c>
      <c r="Y3" s="325">
        <f>SUMIF(工资表明细!$J$3:$J$82,$B3,工资表明细!AK$3:AK$82)</f>
        <v>-1840</v>
      </c>
      <c r="Z3" s="325">
        <f>SUMIF(工资表明细!$J$3:$J$82,$B3,工资表明细!AL$3:AL$82)</f>
        <v>18327.84</v>
      </c>
      <c r="AA3" s="325">
        <f>SUMIF(工资表明细!$J$3:$J$82,$B3,工资表明细!AM$3:AM$82)</f>
        <v>4600</v>
      </c>
      <c r="AB3" s="325">
        <f>SUMIF(工资表明细!$J$3:$J$82,$B3,工资表明细!AN$3:AN$82)</f>
        <v>476</v>
      </c>
      <c r="AC3" s="325">
        <f>SUMIF(工资表明细!$J$3:$J$82,$B3,工资表明细!AO$3:AO$82)</f>
        <v>20480</v>
      </c>
      <c r="AD3" s="325">
        <f>SUMIF(工资表明细!$J$3:$J$82,$B3,工资表明细!BE$3:BE$82)</f>
        <v>7179.72</v>
      </c>
      <c r="AE3" s="325">
        <f>SUMIF(工资表明细!$J$3:$J$82,$B3,工资表明细!BF$3:BF$82)</f>
        <v>190569.54</v>
      </c>
    </row>
    <row r="4" ht="18.75" customHeight="1" spans="1:34">
      <c r="A4" s="326"/>
      <c r="B4" s="326" t="s">
        <v>34</v>
      </c>
      <c r="C4" s="327">
        <f t="shared" ref="C4:AE4" si="0">SUM(C3:C3)</f>
        <v>14</v>
      </c>
      <c r="D4" s="328">
        <f t="shared" si="0"/>
        <v>246000</v>
      </c>
      <c r="E4" s="328">
        <f t="shared" si="0"/>
        <v>0</v>
      </c>
      <c r="F4" s="328">
        <f t="shared" si="0"/>
        <v>0</v>
      </c>
      <c r="G4" s="328">
        <f t="shared" si="0"/>
        <v>0</v>
      </c>
      <c r="H4" s="328">
        <f t="shared" si="0"/>
        <v>0</v>
      </c>
      <c r="I4" s="328">
        <f t="shared" si="0"/>
        <v>6206.9</v>
      </c>
      <c r="J4" s="328">
        <f t="shared" si="0"/>
        <v>0</v>
      </c>
      <c r="K4" s="328">
        <f t="shared" si="0"/>
        <v>0</v>
      </c>
      <c r="L4" s="328">
        <f t="shared" si="0"/>
        <v>0</v>
      </c>
      <c r="M4" s="328">
        <f t="shared" si="0"/>
        <v>0</v>
      </c>
      <c r="N4" s="328">
        <f t="shared" si="0"/>
        <v>0</v>
      </c>
      <c r="O4" s="328">
        <f t="shared" si="0"/>
        <v>0</v>
      </c>
      <c r="P4" s="328">
        <f t="shared" si="0"/>
        <v>0</v>
      </c>
      <c r="Q4" s="328">
        <f t="shared" si="0"/>
        <v>0</v>
      </c>
      <c r="R4" s="328">
        <f t="shared" si="0"/>
        <v>0</v>
      </c>
      <c r="S4" s="328">
        <f t="shared" si="0"/>
        <v>0</v>
      </c>
      <c r="T4" s="328">
        <f t="shared" si="0"/>
        <v>239793.1</v>
      </c>
      <c r="U4" s="328">
        <f t="shared" si="0"/>
        <v>0</v>
      </c>
      <c r="V4" s="328">
        <f t="shared" si="0"/>
        <v>0</v>
      </c>
      <c r="W4" s="328">
        <f t="shared" si="0"/>
        <v>0</v>
      </c>
      <c r="X4" s="328">
        <f t="shared" si="0"/>
        <v>-1840</v>
      </c>
      <c r="Y4" s="328">
        <f t="shared" si="0"/>
        <v>-1840</v>
      </c>
      <c r="Z4" s="328">
        <f t="shared" si="0"/>
        <v>18327.84</v>
      </c>
      <c r="AA4" s="328">
        <f t="shared" si="0"/>
        <v>4600</v>
      </c>
      <c r="AB4" s="328">
        <f t="shared" si="0"/>
        <v>476</v>
      </c>
      <c r="AC4" s="328">
        <f t="shared" si="0"/>
        <v>20480</v>
      </c>
      <c r="AD4" s="328">
        <f t="shared" si="0"/>
        <v>7179.72</v>
      </c>
      <c r="AE4" s="328">
        <f t="shared" si="0"/>
        <v>190569.54</v>
      </c>
    </row>
    <row r="5" ht="18.75" customHeight="1" spans="1:34">
      <c r="A5" s="329" t="s">
        <v>35</v>
      </c>
      <c r="B5" s="330" t="s">
        <v>36</v>
      </c>
      <c r="C5" s="324">
        <f>SUMIF(工资表明细!$J$2:$J$82,$B5,工资表明细!L$2:L$82)</f>
        <v>55</v>
      </c>
      <c r="D5" s="325">
        <f>SUMIF(工资表明细!$J$3:$J$82,$B5,工资表明细!P$3:P$82)</f>
        <v>1263300</v>
      </c>
      <c r="E5" s="325">
        <f>SUMIF(工资表明细!$J$3:$J$82,$B5,工资表明细!Q$3:Q$82)</f>
        <v>0</v>
      </c>
      <c r="F5" s="325">
        <f>SUMIF(工资表明细!$J$3:$J$82,$B5,工资表明细!R$3:R$82)</f>
        <v>0</v>
      </c>
      <c r="G5" s="325">
        <f>SUMIF(工资表明细!$J$3:$J$82,$B5,工资表明细!S$3:S$82)</f>
        <v>0</v>
      </c>
      <c r="H5" s="325">
        <f>SUMIF(工资表明细!$J$3:$J$82,$B5,工资表明细!T$3:T$82)</f>
        <v>0</v>
      </c>
      <c r="I5" s="325">
        <f>SUMIF(工资表明细!$J$3:$J$82,$B5,工资表明细!U$3:U$82)</f>
        <v>43287.36</v>
      </c>
      <c r="J5" s="325">
        <f>SUMIF(工资表明细!$J$3:$J$82,$B5,工资表明细!V$3:V$82)</f>
        <v>0</v>
      </c>
      <c r="K5" s="325">
        <f>SUMIF(工资表明细!$J$3:$J$82,$B5,工资表明细!W$3:W$82)</f>
        <v>0</v>
      </c>
      <c r="L5" s="325">
        <f>SUMIF(工资表明细!$J$3:$J$82,$B5,工资表明细!X$3:X$82)</f>
        <v>0</v>
      </c>
      <c r="M5" s="325">
        <f>SUMIF(工资表明细!$J$3:$J$82,$B5,工资表明细!Y$3:Y$82)</f>
        <v>0</v>
      </c>
      <c r="N5" s="325">
        <f>SUMIF(工资表明细!$J$3:$J$82,$B5,工资表明细!Z$3:Z$82)</f>
        <v>0</v>
      </c>
      <c r="O5" s="325">
        <f>SUMIF(工资表明细!$J$3:$J$82,$B5,工资表明细!AA$3:AA$82)</f>
        <v>0</v>
      </c>
      <c r="P5" s="325">
        <f>SUMIF(工资表明细!$J$3:$J$82,$B5,工资表明细!AB$3:AB$82)</f>
        <v>0</v>
      </c>
      <c r="Q5" s="325">
        <f>SUMIF(工资表明细!$J$3:$J$82,$B5,工资表明细!AC$3:AC$82)</f>
        <v>0</v>
      </c>
      <c r="R5" s="325">
        <f>SUMIF(工资表明细!$J$3:$J$82,$B5,工资表明细!AD$3:AD$82)</f>
        <v>800</v>
      </c>
      <c r="S5" s="325">
        <f>SUMIF(工资表明细!$J$3:$J$82,$B5,工资表明细!AE$3:AE$82)</f>
        <v>800</v>
      </c>
      <c r="T5" s="325">
        <f>SUMIF(工资表明细!$J$3:$J$82,$B5,工资表明细!AF$3:AF$82)</f>
        <v>1220812.64</v>
      </c>
      <c r="U5" s="325">
        <f>SUMIF(工资表明细!$J$3:$J$82,$B5,工资表明细!AG$3:AG$82)</f>
        <v>0</v>
      </c>
      <c r="V5" s="325">
        <f>SUMIF(工资表明细!$J$3:$J$82,$B5,工资表明细!AH$3:AH$82)</f>
        <v>0</v>
      </c>
      <c r="W5" s="325">
        <f>SUMIF(工资表明细!$J$3:$J$82,$B5,工资表明细!AI$3:AI$82)</f>
        <v>0</v>
      </c>
      <c r="X5" s="325">
        <f>SUMIF(工资表明细!$J$3:$J$82,$B5,工资表明细!AJ$3:AJ$82)</f>
        <v>1280.25</v>
      </c>
      <c r="Y5" s="325">
        <f>SUMIF(工资表明细!$J$3:$J$82,$B5,工资表明细!AK$3:AK$82)</f>
        <v>1280.25</v>
      </c>
      <c r="Z5" s="325">
        <f>SUMIF(工资表明细!$J$3:$J$82,$B5,工资表明细!AL$3:AL$82)</f>
        <v>87334.88</v>
      </c>
      <c r="AA5" s="325">
        <f>SUMIF(工资表明细!$J$3:$J$82,$B5,工资表明细!AM$3:AM$82)</f>
        <v>23121.28</v>
      </c>
      <c r="AB5" s="325">
        <f>SUMIF(工资表明细!$J$3:$J$82,$B5,工资表明细!AN$3:AN$82)</f>
        <v>2415.54</v>
      </c>
      <c r="AC5" s="325">
        <f>SUMIF(工资表明细!$J$3:$J$82,$B5,工资表明细!AO$3:AO$82)</f>
        <v>88863.6</v>
      </c>
      <c r="AD5" s="325">
        <f>SUMIF(工资表明细!$J$3:$J$82,$B5,工资表明细!BE$3:BE$82)</f>
        <v>85237.98</v>
      </c>
      <c r="AE5" s="325">
        <f>SUMIF(工资表明细!$J$3:$J$82,$B5,工资表明细!BF$3:BF$82)</f>
        <v>932559.11</v>
      </c>
    </row>
    <row r="6" ht="18.75" customHeight="1" spans="1:34">
      <c r="A6" s="331"/>
      <c r="B6" s="332" t="s">
        <v>34</v>
      </c>
      <c r="C6" s="333">
        <f t="shared" ref="C6:AE6" si="1">SUM(C5:C5)</f>
        <v>55</v>
      </c>
      <c r="D6" s="334">
        <f t="shared" si="1"/>
        <v>1263300</v>
      </c>
      <c r="E6" s="334">
        <f t="shared" si="1"/>
        <v>0</v>
      </c>
      <c r="F6" s="334">
        <f t="shared" si="1"/>
        <v>0</v>
      </c>
      <c r="G6" s="334">
        <f t="shared" si="1"/>
        <v>0</v>
      </c>
      <c r="H6" s="334">
        <f t="shared" si="1"/>
        <v>0</v>
      </c>
      <c r="I6" s="334">
        <f t="shared" si="1"/>
        <v>43287.36</v>
      </c>
      <c r="J6" s="334">
        <f t="shared" si="1"/>
        <v>0</v>
      </c>
      <c r="K6" s="334">
        <f t="shared" si="1"/>
        <v>0</v>
      </c>
      <c r="L6" s="334">
        <f t="shared" si="1"/>
        <v>0</v>
      </c>
      <c r="M6" s="334">
        <f t="shared" si="1"/>
        <v>0</v>
      </c>
      <c r="N6" s="334">
        <f t="shared" si="1"/>
        <v>0</v>
      </c>
      <c r="O6" s="334">
        <f t="shared" si="1"/>
        <v>0</v>
      </c>
      <c r="P6" s="334">
        <f t="shared" si="1"/>
        <v>0</v>
      </c>
      <c r="Q6" s="334">
        <f t="shared" si="1"/>
        <v>0</v>
      </c>
      <c r="R6" s="334">
        <f t="shared" si="1"/>
        <v>800</v>
      </c>
      <c r="S6" s="334">
        <f t="shared" si="1"/>
        <v>800</v>
      </c>
      <c r="T6" s="334">
        <f t="shared" si="1"/>
        <v>1220812.64</v>
      </c>
      <c r="U6" s="334">
        <f t="shared" si="1"/>
        <v>0</v>
      </c>
      <c r="V6" s="334">
        <f t="shared" si="1"/>
        <v>0</v>
      </c>
      <c r="W6" s="334">
        <f t="shared" si="1"/>
        <v>0</v>
      </c>
      <c r="X6" s="334">
        <f t="shared" si="1"/>
        <v>1280.25</v>
      </c>
      <c r="Y6" s="334">
        <f t="shared" si="1"/>
        <v>1280.25</v>
      </c>
      <c r="Z6" s="334">
        <f t="shared" si="1"/>
        <v>87334.88</v>
      </c>
      <c r="AA6" s="334">
        <f t="shared" si="1"/>
        <v>23121.28</v>
      </c>
      <c r="AB6" s="334">
        <f t="shared" si="1"/>
        <v>2415.54</v>
      </c>
      <c r="AC6" s="334">
        <f t="shared" si="1"/>
        <v>88863.6</v>
      </c>
      <c r="AD6" s="334">
        <f t="shared" si="1"/>
        <v>85237.98</v>
      </c>
      <c r="AE6" s="334">
        <f t="shared" si="1"/>
        <v>932559.11</v>
      </c>
      <c r="AH6"/>
    </row>
    <row r="7" ht="18.75" customHeight="1" spans="1:34">
      <c r="A7" s="335" t="s">
        <v>37</v>
      </c>
      <c r="B7" s="330" t="s">
        <v>38</v>
      </c>
      <c r="C7" s="324">
        <f>SUMIF(工资表明细!$J$2:$J$82,$B7,工资表明细!L$2:L$82)</f>
        <v>9</v>
      </c>
      <c r="D7" s="325">
        <f>SUMIF(工资表明细!$J$3:$J$82,$B7,工资表明细!P$3:P$82)</f>
        <v>281000</v>
      </c>
      <c r="E7" s="325">
        <f>SUMIF(工资表明细!$J$3:$J$82,$B7,工资表明细!Q$3:Q$82)</f>
        <v>0</v>
      </c>
      <c r="F7" s="325">
        <f>SUMIF(工资表明细!$J$3:$J$82,$B7,工资表明细!R$3:R$82)</f>
        <v>0</v>
      </c>
      <c r="G7" s="325">
        <f>SUMIF(工资表明细!$J$3:$J$82,$B7,工资表明细!S$3:S$82)</f>
        <v>0</v>
      </c>
      <c r="H7" s="325">
        <f>SUMIF(工资表明细!$J$3:$J$82,$B7,工资表明细!T$3:T$82)</f>
        <v>0</v>
      </c>
      <c r="I7" s="325">
        <f>SUMIF(工资表明细!$J$3:$J$82,$B7,工资表明细!U$3:U$82)</f>
        <v>0</v>
      </c>
      <c r="J7" s="325">
        <f>SUMIF(工资表明细!$J$3:$J$82,$B7,工资表明细!V$3:V$82)</f>
        <v>0</v>
      </c>
      <c r="K7" s="325">
        <f>SUMIF(工资表明细!$J$3:$J$82,$B7,工资表明细!W$3:W$82)</f>
        <v>0</v>
      </c>
      <c r="L7" s="325">
        <f>SUMIF(工资表明细!$J$3:$J$82,$B7,工资表明细!X$3:X$82)</f>
        <v>0</v>
      </c>
      <c r="M7" s="325">
        <f>SUMIF(工资表明细!$J$3:$J$82,$B7,工资表明细!Y$3:Y$82)</f>
        <v>0</v>
      </c>
      <c r="N7" s="325">
        <f>SUMIF(工资表明细!$J$3:$J$82,$B7,工资表明细!Z$3:Z$82)</f>
        <v>0</v>
      </c>
      <c r="O7" s="325">
        <f>SUMIF(工资表明细!$J$3:$J$82,$B7,工资表明细!AA$3:AA$82)</f>
        <v>0</v>
      </c>
      <c r="P7" s="325">
        <f>SUMIF(工资表明细!$J$3:$J$82,$B7,工资表明细!AB$3:AB$82)</f>
        <v>0</v>
      </c>
      <c r="Q7" s="325">
        <f>SUMIF(工资表明细!$J$3:$J$82,$B7,工资表明细!AC$3:AC$82)</f>
        <v>0</v>
      </c>
      <c r="R7" s="325">
        <f>SUMIF(工资表明细!$J$3:$J$82,$B7,工资表明细!AD$3:AD$82)</f>
        <v>0</v>
      </c>
      <c r="S7" s="325">
        <f>SUMIF(工资表明细!$J$3:$J$82,$B7,工资表明细!AE$3:AE$82)</f>
        <v>0</v>
      </c>
      <c r="T7" s="325">
        <f>SUMIF(工资表明细!$J$3:$J$82,$B7,工资表明细!AF$3:AF$82)</f>
        <v>281000</v>
      </c>
      <c r="U7" s="325">
        <f>SUMIF(工资表明细!$J$3:$J$82,$B7,工资表明细!AG$3:AG$82)</f>
        <v>0</v>
      </c>
      <c r="V7" s="325">
        <f>SUMIF(工资表明细!$J$3:$J$82,$B7,工资表明细!AH$3:AH$82)</f>
        <v>0</v>
      </c>
      <c r="W7" s="325">
        <f>SUMIF(工资表明细!$J$3:$J$82,$B7,工资表明细!AI$3:AI$82)</f>
        <v>0</v>
      </c>
      <c r="X7" s="325">
        <f>SUMIF(工资表明细!$J$3:$J$82,$B7,工资表明细!AJ$3:AJ$82)</f>
        <v>-140.24</v>
      </c>
      <c r="Y7" s="325">
        <f>SUMIF(工资表明细!$J$3:$J$82,$B7,工资表明细!AK$3:AK$82)</f>
        <v>-140.24</v>
      </c>
      <c r="Z7" s="325">
        <f>SUMIF(工资表明细!$J$3:$J$82,$B7,工资表明细!AL$3:AL$82)</f>
        <v>13615.68</v>
      </c>
      <c r="AA7" s="325">
        <f>SUMIF(工资表明细!$J$3:$J$82,$B7,工资表明细!AM$3:AM$82)</f>
        <v>3890.64</v>
      </c>
      <c r="AB7" s="325">
        <f>SUMIF(工资表明细!$J$3:$J$82,$B7,工资表明细!AN$3:AN$82)</f>
        <v>479.88</v>
      </c>
      <c r="AC7" s="325">
        <f>SUMIF(工资表明细!$J$3:$J$82,$B7,工资表明细!AO$3:AO$82)</f>
        <v>21739.5</v>
      </c>
      <c r="AD7" s="325">
        <f>SUMIF(工资表明细!$J$3:$J$82,$B7,工资表明细!BE$3:BE$82)</f>
        <v>34577.71</v>
      </c>
      <c r="AE7" s="325">
        <f>SUMIF(工资表明细!$J$3:$J$82,$B7,工资表明细!BF$3:BF$82)</f>
        <v>206836.83</v>
      </c>
      <c r="AH7"/>
    </row>
    <row r="8" ht="18.75" customHeight="1" spans="1:34">
      <c r="A8" s="336"/>
      <c r="B8" s="337" t="s">
        <v>34</v>
      </c>
      <c r="C8" s="338">
        <f t="shared" ref="C8:AE8" si="2">SUM(C7:C7)</f>
        <v>9</v>
      </c>
      <c r="D8" s="339">
        <f t="shared" si="2"/>
        <v>281000</v>
      </c>
      <c r="E8" s="339">
        <f t="shared" si="2"/>
        <v>0</v>
      </c>
      <c r="F8" s="339">
        <f t="shared" si="2"/>
        <v>0</v>
      </c>
      <c r="G8" s="339">
        <f t="shared" si="2"/>
        <v>0</v>
      </c>
      <c r="H8" s="339">
        <f t="shared" si="2"/>
        <v>0</v>
      </c>
      <c r="I8" s="339">
        <f t="shared" si="2"/>
        <v>0</v>
      </c>
      <c r="J8" s="339">
        <f t="shared" si="2"/>
        <v>0</v>
      </c>
      <c r="K8" s="339">
        <f t="shared" si="2"/>
        <v>0</v>
      </c>
      <c r="L8" s="339">
        <f t="shared" si="2"/>
        <v>0</v>
      </c>
      <c r="M8" s="339">
        <f t="shared" si="2"/>
        <v>0</v>
      </c>
      <c r="N8" s="339">
        <f t="shared" si="2"/>
        <v>0</v>
      </c>
      <c r="O8" s="339">
        <f t="shared" si="2"/>
        <v>0</v>
      </c>
      <c r="P8" s="339">
        <f t="shared" si="2"/>
        <v>0</v>
      </c>
      <c r="Q8" s="339">
        <f t="shared" si="2"/>
        <v>0</v>
      </c>
      <c r="R8" s="339">
        <f t="shared" si="2"/>
        <v>0</v>
      </c>
      <c r="S8" s="339">
        <f t="shared" si="2"/>
        <v>0</v>
      </c>
      <c r="T8" s="339">
        <f t="shared" si="2"/>
        <v>281000</v>
      </c>
      <c r="U8" s="339">
        <f t="shared" si="2"/>
        <v>0</v>
      </c>
      <c r="V8" s="339">
        <f t="shared" si="2"/>
        <v>0</v>
      </c>
      <c r="W8" s="339">
        <f t="shared" si="2"/>
        <v>0</v>
      </c>
      <c r="X8" s="339">
        <f t="shared" si="2"/>
        <v>-140.24</v>
      </c>
      <c r="Y8" s="339">
        <f t="shared" si="2"/>
        <v>-140.24</v>
      </c>
      <c r="Z8" s="339">
        <f t="shared" si="2"/>
        <v>13615.68</v>
      </c>
      <c r="AA8" s="339">
        <f t="shared" si="2"/>
        <v>3890.64</v>
      </c>
      <c r="AB8" s="339">
        <f t="shared" si="2"/>
        <v>479.88</v>
      </c>
      <c r="AC8" s="339">
        <f t="shared" si="2"/>
        <v>21739.5</v>
      </c>
      <c r="AD8" s="339">
        <f t="shared" si="2"/>
        <v>34577.71</v>
      </c>
      <c r="AE8" s="339">
        <f t="shared" si="2"/>
        <v>206836.83</v>
      </c>
      <c r="AH8"/>
    </row>
    <row r="9" ht="18.75" customHeight="1" spans="1:34">
      <c r="A9" s="340" t="s">
        <v>39</v>
      </c>
      <c r="B9" s="340"/>
      <c r="C9" s="341">
        <f t="shared" ref="C9:AE9" si="3">C4+C6+C8</f>
        <v>78</v>
      </c>
      <c r="D9" s="342">
        <f t="shared" si="3"/>
        <v>1790300</v>
      </c>
      <c r="E9" s="342">
        <f t="shared" si="3"/>
        <v>0</v>
      </c>
      <c r="F9" s="342">
        <f t="shared" si="3"/>
        <v>0</v>
      </c>
      <c r="G9" s="342">
        <f t="shared" si="3"/>
        <v>0</v>
      </c>
      <c r="H9" s="342">
        <f t="shared" si="3"/>
        <v>0</v>
      </c>
      <c r="I9" s="342">
        <f t="shared" si="3"/>
        <v>49494.26</v>
      </c>
      <c r="J9" s="342">
        <f t="shared" si="3"/>
        <v>0</v>
      </c>
      <c r="K9" s="342">
        <f t="shared" si="3"/>
        <v>0</v>
      </c>
      <c r="L9" s="342">
        <f t="shared" si="3"/>
        <v>0</v>
      </c>
      <c r="M9" s="342">
        <f t="shared" si="3"/>
        <v>0</v>
      </c>
      <c r="N9" s="342">
        <f t="shared" si="3"/>
        <v>0</v>
      </c>
      <c r="O9" s="342">
        <f t="shared" si="3"/>
        <v>0</v>
      </c>
      <c r="P9" s="342">
        <f t="shared" si="3"/>
        <v>0</v>
      </c>
      <c r="Q9" s="342">
        <f t="shared" si="3"/>
        <v>0</v>
      </c>
      <c r="R9" s="342">
        <f t="shared" si="3"/>
        <v>800</v>
      </c>
      <c r="S9" s="342">
        <f t="shared" si="3"/>
        <v>800</v>
      </c>
      <c r="T9" s="342">
        <f t="shared" si="3"/>
        <v>1741605.74</v>
      </c>
      <c r="U9" s="342">
        <f t="shared" si="3"/>
        <v>0</v>
      </c>
      <c r="V9" s="342">
        <f t="shared" si="3"/>
        <v>0</v>
      </c>
      <c r="W9" s="342">
        <f t="shared" si="3"/>
        <v>0</v>
      </c>
      <c r="X9" s="342">
        <f t="shared" si="3"/>
        <v>-699.99</v>
      </c>
      <c r="Y9" s="342">
        <f t="shared" si="3"/>
        <v>-699.99</v>
      </c>
      <c r="Z9" s="342">
        <f t="shared" si="3"/>
        <v>119278.4</v>
      </c>
      <c r="AA9" s="342">
        <f t="shared" si="3"/>
        <v>31611.92</v>
      </c>
      <c r="AB9" s="342">
        <f t="shared" si="3"/>
        <v>3371.42</v>
      </c>
      <c r="AC9" s="342">
        <f t="shared" si="3"/>
        <v>131083.1</v>
      </c>
      <c r="AD9" s="342">
        <f t="shared" si="3"/>
        <v>126995.41</v>
      </c>
      <c r="AE9" s="342">
        <f t="shared" si="3"/>
        <v>1329965.48</v>
      </c>
      <c r="AH9"/>
    </row>
    <row r="10" s="313" customFormat="1" customHeight="1" spans="1:34">
      <c r="C10" s="343">
        <f>C9-工资表明细!L83</f>
        <v>0</v>
      </c>
      <c r="D10" s="343">
        <f>D9-工资表明细!P83</f>
        <v>0</v>
      </c>
      <c r="E10" s="343">
        <f>E9-工资表明细!Q83</f>
        <v>0</v>
      </c>
      <c r="F10" s="343">
        <f>F9-工资表明细!R83</f>
        <v>0</v>
      </c>
      <c r="G10" s="343">
        <f>G9-工资表明细!S83</f>
        <v>0</v>
      </c>
      <c r="H10" s="343">
        <f>H9-工资表明细!T83</f>
        <v>0</v>
      </c>
      <c r="I10" s="343">
        <f>I9-工资表明细!U83</f>
        <v>0</v>
      </c>
      <c r="J10" s="343">
        <f>J9-工资表明细!V83</f>
        <v>0</v>
      </c>
      <c r="K10" s="343">
        <f>K9-工资表明细!W83</f>
        <v>0</v>
      </c>
      <c r="L10" s="343">
        <f>L9-工资表明细!X83</f>
        <v>0</v>
      </c>
      <c r="M10" s="343">
        <f>M9-工资表明细!Y83</f>
        <v>0</v>
      </c>
      <c r="N10" s="343">
        <f>N9-工资表明细!Z83</f>
        <v>0</v>
      </c>
      <c r="O10" s="343">
        <f>O9-工资表明细!AA83</f>
        <v>0</v>
      </c>
      <c r="P10" s="343">
        <f>P9-工资表明细!AB83</f>
        <v>0</v>
      </c>
      <c r="Q10" s="343">
        <f>Q9-工资表明细!AC83</f>
        <v>0</v>
      </c>
      <c r="R10" s="343">
        <f>R9-工资表明细!AD83</f>
        <v>0</v>
      </c>
      <c r="S10" s="343">
        <f>S9-工资表明细!AE83</f>
        <v>0</v>
      </c>
      <c r="T10" s="343">
        <f>T9-工资表明细!AF83</f>
        <v>0</v>
      </c>
      <c r="U10" s="343">
        <f>U9-工资表明细!AG83</f>
        <v>0</v>
      </c>
      <c r="V10" s="343">
        <f>V9-工资表明细!AH83</f>
        <v>0</v>
      </c>
      <c r="W10" s="343">
        <f>W9-工资表明细!AI83</f>
        <v>0</v>
      </c>
      <c r="X10" s="343">
        <f>X9-工资表明细!AJ83</f>
        <v>0</v>
      </c>
      <c r="Y10" s="343">
        <f>Y9-工资表明细!AK83</f>
        <v>0</v>
      </c>
      <c r="Z10" s="343">
        <f>Z9-工资表明细!AL83</f>
        <v>0</v>
      </c>
      <c r="AA10" s="343">
        <f>AA9-工资表明细!AM83</f>
        <v>0</v>
      </c>
      <c r="AB10" s="343">
        <f>AB9-工资表明细!AN83</f>
        <v>0</v>
      </c>
      <c r="AC10" s="343">
        <f>AC9-工资表明细!AO83</f>
        <v>0</v>
      </c>
      <c r="AD10" s="343">
        <f>AD9-工资表明细!BE83</f>
        <v>0</v>
      </c>
      <c r="AE10" s="343">
        <f>AE9-工资表明细!BF83</f>
        <v>0</v>
      </c>
      <c r="AH10" s="3"/>
    </row>
    <row r="11" s="313" customFormat="1" customHeight="1" spans="1:34">
      <c r="C11" s="343"/>
      <c r="D11" s="343"/>
      <c r="E11" s="343"/>
      <c r="F11" s="343"/>
      <c r="G11" s="343"/>
      <c r="H11" s="343"/>
      <c r="I11" s="343"/>
      <c r="J11" s="343"/>
      <c r="K11" s="343"/>
      <c r="L11" s="343"/>
      <c r="M11" s="343"/>
      <c r="N11" s="343"/>
      <c r="O11" s="343"/>
      <c r="P11" s="343"/>
      <c r="Q11" s="343"/>
      <c r="R11" s="343"/>
      <c r="S11" s="343"/>
      <c r="T11" s="343"/>
      <c r="U11" s="343"/>
      <c r="V11" s="343"/>
      <c r="W11" s="343"/>
      <c r="X11" s="343"/>
      <c r="Y11" s="343"/>
      <c r="Z11" s="343"/>
      <c r="AA11" s="343"/>
      <c r="AB11" s="343"/>
      <c r="AC11" s="343"/>
      <c r="AD11" s="343"/>
      <c r="AE11" s="343"/>
      <c r="AH11" s="3"/>
    </row>
    <row r="12" customHeight="1" spans="1:34">
      <c r="AH12"/>
    </row>
    <row r="13" customHeight="1" spans="1:34">
      <c r="AH13"/>
    </row>
    <row r="14" customHeight="1" spans="1:34">
      <c r="AH14"/>
    </row>
    <row r="15" customHeight="1" spans="1:34">
      <c r="AH15"/>
    </row>
    <row r="16" customHeight="1" spans="1:34">
      <c r="AH16"/>
    </row>
    <row r="17" customHeight="1" spans="34:34">
      <c r="AH17"/>
    </row>
    <row r="18" customHeight="1" spans="34:34">
      <c r="AH18"/>
    </row>
    <row r="19" customHeight="1" spans="34:34">
      <c r="AH19"/>
    </row>
    <row r="20" customHeight="1" spans="34:34">
      <c r="AH20"/>
    </row>
    <row r="21" customHeight="1" spans="34:34">
      <c r="AH21"/>
    </row>
    <row r="22" customHeight="1" spans="34:34">
      <c r="AH22"/>
    </row>
    <row r="23" customHeight="1" spans="34:34">
      <c r="AH23"/>
    </row>
    <row r="24" customHeight="1" spans="34:34">
      <c r="AH24"/>
    </row>
    <row r="25" customHeight="1" spans="34:34">
      <c r="AH25"/>
    </row>
    <row r="26" customHeight="1" spans="34:34">
      <c r="AH26"/>
    </row>
    <row r="27" customHeight="1" spans="34:34">
      <c r="AH27"/>
    </row>
    <row r="28" customHeight="1" spans="34:34">
      <c r="AH28"/>
    </row>
    <row r="29" customHeight="1" spans="34:34">
      <c r="AH29"/>
    </row>
    <row r="30" customHeight="1" spans="34:34">
      <c r="AH30"/>
    </row>
    <row r="31" customHeight="1" spans="34:34">
      <c r="AH31"/>
    </row>
    <row r="32" customHeight="1" spans="34:34">
      <c r="AH32"/>
    </row>
    <row r="33" customHeight="1" spans="34:34">
      <c r="AH33"/>
    </row>
    <row r="34" customHeight="1" spans="34:34">
      <c r="AH34"/>
    </row>
    <row r="35" customHeight="1" spans="34:34">
      <c r="AH35"/>
    </row>
    <row r="36" customHeight="1" spans="34:34">
      <c r="AH36"/>
    </row>
    <row r="37" customHeight="1" spans="34:34">
      <c r="AH37"/>
    </row>
    <row r="38" customHeight="1" spans="34:34">
      <c r="AH38"/>
    </row>
    <row r="39" customHeight="1" spans="34:34">
      <c r="AH39"/>
    </row>
    <row r="40" customHeight="1" spans="34:34">
      <c r="AH40"/>
    </row>
    <row r="41" customHeight="1" spans="34:34">
      <c r="AH41"/>
    </row>
    <row r="42" customHeight="1" spans="34:34">
      <c r="AH42"/>
    </row>
    <row r="43" customHeight="1" spans="34:34">
      <c r="AH43"/>
    </row>
    <row r="44" customHeight="1" spans="34:34">
      <c r="AH44"/>
    </row>
    <row r="45" customHeight="1" spans="34:34">
      <c r="AH45"/>
    </row>
    <row r="46" customHeight="1" spans="34:34">
      <c r="AH46"/>
    </row>
    <row r="47" customHeight="1" spans="34:34">
      <c r="AH47"/>
    </row>
    <row r="48" customHeight="1" spans="34:34">
      <c r="AH48"/>
    </row>
    <row r="49" customHeight="1" spans="34:34">
      <c r="AH49"/>
    </row>
    <row r="50" customHeight="1" spans="34:34">
      <c r="AH50"/>
    </row>
    <row r="51" customHeight="1" spans="34:34">
      <c r="AH51"/>
    </row>
    <row r="52" customHeight="1" spans="34:34">
      <c r="AH52"/>
    </row>
    <row r="53" customHeight="1" spans="34:34">
      <c r="AH53"/>
    </row>
    <row r="54" customHeight="1" spans="34:34">
      <c r="AH54"/>
    </row>
    <row r="55" customHeight="1" spans="34:34">
      <c r="AH55"/>
    </row>
    <row r="56" customHeight="1" spans="34:34">
      <c r="AH56"/>
    </row>
    <row r="57" customHeight="1" spans="34:34">
      <c r="AH57"/>
    </row>
  </sheetData>
  <autoFilter xmlns:etc="http://www.wps.cn/officeDocument/2017/etCustomData" ref="A2:AH10" etc:filterBottomFollowUsedRange="0">
    <extLst/>
  </autoFilter>
  <mergeCells count="5">
    <mergeCell ref="A1:AE1"/>
    <mergeCell ref="A9:B9"/>
    <mergeCell ref="A3:A4"/>
    <mergeCell ref="A5:A6"/>
    <mergeCell ref="A7:A8"/>
  </mergeCells>
  <pageMargins left="0.707638888888889" right="0.707638888888889" top="0.747916666666667" bottom="0.747916666666667" header="0.313888888888889" footer="0.313888888888889"/>
  <pageSetup paperSize="9" scale="23" orientation="landscape"/>
  <headerFooter alignWithMargins="0"/>
  <ignoredErrors>
    <ignoredError sqref="I4:L4 O4:AE4" formula="1" unlockedFormula="1"/>
    <ignoredError sqref="B4:H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4" tint="-0.499984740745262"/>
    <pageSetUpPr fitToPage="1"/>
  </sheetPr>
  <dimension ref="A1:AE22"/>
  <sheetViews>
    <sheetView showGridLines="0" workbookViewId="0">
      <pane xSplit="4" ySplit="2" topLeftCell="E3" activePane="bottomRight" state="frozen"/>
      <selection/>
      <selection pane="topRight"/>
      <selection pane="bottomLeft"/>
      <selection pane="bottomRight" activeCell="E17" sqref="E17"/>
    </sheetView>
  </sheetViews>
  <sheetFormatPr defaultColWidth="9.14285714285714" defaultRowHeight="16.5"/>
  <cols>
    <col min="1" max="1" width="11.8571428571429" style="206" customWidth="1"/>
    <col min="2" max="2" width="11.7142857142857" style="206" customWidth="1"/>
    <col min="3" max="3" width="10.7142857142857" style="206" customWidth="1"/>
    <col min="4" max="4" width="19" style="206" customWidth="1"/>
    <col min="5" max="5" width="13.7142857142857" style="206" customWidth="1"/>
    <col min="6" max="6" width="13.7142857142857" style="206" hidden="1" customWidth="1"/>
    <col min="7" max="7" width="15.5714285714286" style="206" customWidth="1"/>
    <col min="8" max="8" width="15.5714285714286" style="206" hidden="1" customWidth="1"/>
    <col min="9" max="9" width="15.5714285714286" style="206" customWidth="1"/>
    <col min="10" max="10" width="11.5714285714286" style="206" customWidth="1"/>
    <col min="11" max="11" width="16" style="206" customWidth="1"/>
    <col min="12" max="12" width="16.1428571428571" style="206" customWidth="1"/>
    <col min="13" max="13" width="15.2857142857143" style="206" customWidth="1"/>
    <col min="14" max="14" width="15.2857142857143" style="206" hidden="1" customWidth="1"/>
    <col min="15" max="15" width="16.1428571428571" style="206" hidden="1" customWidth="1"/>
    <col min="16" max="16" width="14.8571428571429" style="206" hidden="1" customWidth="1"/>
    <col min="17" max="17" width="14.2857142857143" style="206" hidden="1" customWidth="1"/>
    <col min="18" max="18" width="16.4285714285714" style="206" customWidth="1"/>
    <col min="19" max="19" width="16.2857142857143" style="206" customWidth="1"/>
    <col min="20" max="20" width="16.1428571428571" style="206" customWidth="1"/>
    <col min="21" max="21" width="17" style="206" hidden="1" customWidth="1"/>
    <col min="22" max="22" width="15" style="206" hidden="1" customWidth="1"/>
    <col min="23" max="23" width="13" style="206" hidden="1" customWidth="1"/>
    <col min="24" max="24" width="14.8571428571429" style="206" hidden="1" customWidth="1"/>
    <col min="25" max="25" width="15.4285714285714" style="206" hidden="1" customWidth="1"/>
    <col min="26" max="26" width="15.1428571428571" style="206" hidden="1" customWidth="1"/>
    <col min="27" max="27" width="16.8571428571429" style="206" hidden="1" customWidth="1"/>
    <col min="28" max="28" width="15.2857142857143" style="206" hidden="1" customWidth="1"/>
    <col min="29" max="29" width="16.5714285714286" style="206" hidden="1" customWidth="1"/>
    <col min="30" max="30" width="9.14285714285714" style="206" customWidth="1"/>
    <col min="31" max="31" width="18.7142857142857" style="206" customWidth="1"/>
    <col min="32" max="16384" width="9.14285714285714" style="206"/>
  </cols>
  <sheetData>
    <row r="1" ht="32.1" customHeight="1" spans="1:31">
      <c r="A1" s="289" t="s">
        <v>40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</row>
    <row r="2" ht="24.75" customHeight="1" spans="1:31">
      <c r="A2" s="290" t="s">
        <v>41</v>
      </c>
      <c r="B2" s="290" t="s">
        <v>42</v>
      </c>
      <c r="C2" s="290" t="s">
        <v>3</v>
      </c>
      <c r="D2" s="290" t="s">
        <v>43</v>
      </c>
      <c r="E2" s="290" t="s">
        <v>5</v>
      </c>
      <c r="F2" s="290" t="s">
        <v>6</v>
      </c>
      <c r="G2" s="290" t="s">
        <v>7</v>
      </c>
      <c r="H2" s="290" t="s">
        <v>8</v>
      </c>
      <c r="I2" s="290" t="s">
        <v>9</v>
      </c>
      <c r="J2" s="290" t="s">
        <v>10</v>
      </c>
      <c r="K2" s="290" t="s">
        <v>11</v>
      </c>
      <c r="L2" s="290" t="s">
        <v>12</v>
      </c>
      <c r="M2" s="290" t="s">
        <v>13</v>
      </c>
      <c r="N2" s="290" t="s">
        <v>14</v>
      </c>
      <c r="O2" s="290" t="s">
        <v>15</v>
      </c>
      <c r="P2" s="290" t="s">
        <v>16</v>
      </c>
      <c r="Q2" s="290" t="s">
        <v>17</v>
      </c>
      <c r="R2" s="290" t="s">
        <v>18</v>
      </c>
      <c r="S2" s="290" t="s">
        <v>19</v>
      </c>
      <c r="T2" s="290" t="s">
        <v>20</v>
      </c>
      <c r="U2" s="290" t="s">
        <v>21</v>
      </c>
      <c r="V2" s="290" t="s">
        <v>44</v>
      </c>
      <c r="W2" s="290" t="s">
        <v>45</v>
      </c>
      <c r="X2" s="290" t="s">
        <v>24</v>
      </c>
      <c r="Y2" s="290" t="s">
        <v>25</v>
      </c>
      <c r="Z2" s="290" t="s">
        <v>46</v>
      </c>
      <c r="AA2" s="290" t="s">
        <v>29</v>
      </c>
      <c r="AB2" s="290" t="s">
        <v>47</v>
      </c>
      <c r="AC2" s="308" t="s">
        <v>31</v>
      </c>
    </row>
    <row r="3" ht="21" customHeight="1" spans="1:31">
      <c r="A3" s="293">
        <v>46204</v>
      </c>
      <c r="B3" s="294" t="s">
        <v>37</v>
      </c>
      <c r="C3" s="295">
        <f>汇总!C8</f>
        <v>9</v>
      </c>
      <c r="D3" s="296">
        <f>汇总!D8</f>
        <v>281000</v>
      </c>
      <c r="E3" s="296">
        <f>汇总!E8</f>
        <v>0</v>
      </c>
      <c r="F3" s="296">
        <f>汇总!F8</f>
        <v>0</v>
      </c>
      <c r="G3" s="296">
        <f>汇总!G8</f>
        <v>0</v>
      </c>
      <c r="H3" s="296">
        <f>汇总!H8</f>
        <v>0</v>
      </c>
      <c r="I3" s="296">
        <f>汇总!I8</f>
        <v>0</v>
      </c>
      <c r="J3" s="296">
        <f>汇总!J8</f>
        <v>0</v>
      </c>
      <c r="K3" s="296">
        <f>汇总!K8</f>
        <v>0</v>
      </c>
      <c r="L3" s="296">
        <f>汇总!L8</f>
        <v>0</v>
      </c>
      <c r="M3" s="296">
        <f>汇总!M8</f>
        <v>0</v>
      </c>
      <c r="N3" s="296">
        <f>汇总!N8</f>
        <v>0</v>
      </c>
      <c r="O3" s="296">
        <f>汇总!O8</f>
        <v>0</v>
      </c>
      <c r="P3" s="296">
        <f>汇总!P8</f>
        <v>0</v>
      </c>
      <c r="Q3" s="296">
        <f>汇总!Q8</f>
        <v>0</v>
      </c>
      <c r="R3" s="296">
        <f>汇总!R8</f>
        <v>0</v>
      </c>
      <c r="S3" s="296">
        <f>汇总!S8</f>
        <v>0</v>
      </c>
      <c r="T3" s="296">
        <f>汇总!T8</f>
        <v>281000</v>
      </c>
      <c r="U3" s="296">
        <f>汇总!U8</f>
        <v>0</v>
      </c>
      <c r="V3" s="296">
        <f>汇总!V8</f>
        <v>0</v>
      </c>
      <c r="W3" s="296">
        <f>汇总!W8</f>
        <v>0</v>
      </c>
      <c r="X3" s="296">
        <f>汇总!X8</f>
        <v>-140.24</v>
      </c>
      <c r="Y3" s="296">
        <f>汇总!Y8</f>
        <v>-140.24</v>
      </c>
      <c r="Z3" s="296">
        <f>汇总!Z8+汇总!AA8+汇总!AB8</f>
        <v>17986.2</v>
      </c>
      <c r="AA3" s="296">
        <f>汇总!AC8</f>
        <v>21739.5</v>
      </c>
      <c r="AB3" s="296">
        <f>汇总!AD8</f>
        <v>34577.71</v>
      </c>
      <c r="AC3" s="296">
        <f>汇总!AE8</f>
        <v>206836.83</v>
      </c>
      <c r="AE3" s="309"/>
    </row>
    <row r="4" ht="21" customHeight="1" spans="1:31">
      <c r="A4" s="293"/>
      <c r="B4" s="294" t="s">
        <v>35</v>
      </c>
      <c r="C4" s="295">
        <f>汇总!C6</f>
        <v>55</v>
      </c>
      <c r="D4" s="296">
        <f>汇总!D6</f>
        <v>1263300</v>
      </c>
      <c r="E4" s="296">
        <f>汇总!E6</f>
        <v>0</v>
      </c>
      <c r="F4" s="296">
        <f>汇总!F6</f>
        <v>0</v>
      </c>
      <c r="G4" s="296">
        <f>汇总!G6</f>
        <v>0</v>
      </c>
      <c r="H4" s="296">
        <f>汇总!H6</f>
        <v>0</v>
      </c>
      <c r="I4" s="296">
        <f>汇总!I6</f>
        <v>43287.36</v>
      </c>
      <c r="J4" s="296">
        <f>汇总!J6</f>
        <v>0</v>
      </c>
      <c r="K4" s="296">
        <f>汇总!K6</f>
        <v>0</v>
      </c>
      <c r="L4" s="296">
        <f>汇总!L6</f>
        <v>0</v>
      </c>
      <c r="M4" s="296">
        <f>汇总!M6</f>
        <v>0</v>
      </c>
      <c r="N4" s="296">
        <f>汇总!N6</f>
        <v>0</v>
      </c>
      <c r="O4" s="296">
        <f>汇总!O6</f>
        <v>0</v>
      </c>
      <c r="P4" s="296">
        <f>汇总!P6</f>
        <v>0</v>
      </c>
      <c r="Q4" s="296">
        <f>汇总!Q6</f>
        <v>0</v>
      </c>
      <c r="R4" s="296">
        <f>汇总!R6</f>
        <v>800</v>
      </c>
      <c r="S4" s="296">
        <f>汇总!S6</f>
        <v>800</v>
      </c>
      <c r="T4" s="296">
        <f>汇总!T6</f>
        <v>1220812.64</v>
      </c>
      <c r="U4" s="296">
        <f>汇总!U6</f>
        <v>0</v>
      </c>
      <c r="V4" s="296">
        <f>汇总!V6</f>
        <v>0</v>
      </c>
      <c r="W4" s="296">
        <f>汇总!W6</f>
        <v>0</v>
      </c>
      <c r="X4" s="296">
        <f>汇总!X6</f>
        <v>1280.25</v>
      </c>
      <c r="Y4" s="296">
        <f>汇总!Y6</f>
        <v>1280.25</v>
      </c>
      <c r="Z4" s="296">
        <f>汇总!Z6+汇总!AA6+汇总!AB6</f>
        <v>112871.7</v>
      </c>
      <c r="AA4" s="296">
        <f>汇总!AC6</f>
        <v>88863.6</v>
      </c>
      <c r="AB4" s="296">
        <f>汇总!AD6</f>
        <v>85237.98</v>
      </c>
      <c r="AC4" s="296">
        <f>汇总!AE6</f>
        <v>932559.11</v>
      </c>
      <c r="AE4" s="309"/>
    </row>
    <row r="5" ht="21" customHeight="1" spans="1:31">
      <c r="A5" s="293"/>
      <c r="B5" s="294" t="s">
        <v>32</v>
      </c>
      <c r="C5" s="295">
        <f>汇总!C4</f>
        <v>14</v>
      </c>
      <c r="D5" s="296">
        <f>汇总!D4</f>
        <v>246000</v>
      </c>
      <c r="E5" s="296">
        <f>汇总!E4</f>
        <v>0</v>
      </c>
      <c r="F5" s="296">
        <f>汇总!F4</f>
        <v>0</v>
      </c>
      <c r="G5" s="296">
        <f>汇总!G4</f>
        <v>0</v>
      </c>
      <c r="H5" s="296">
        <f>汇总!H4</f>
        <v>0</v>
      </c>
      <c r="I5" s="296">
        <f>汇总!I4</f>
        <v>6206.9</v>
      </c>
      <c r="J5" s="296">
        <f>汇总!J4</f>
        <v>0</v>
      </c>
      <c r="K5" s="296">
        <f>汇总!K4</f>
        <v>0</v>
      </c>
      <c r="L5" s="296">
        <f>汇总!L4</f>
        <v>0</v>
      </c>
      <c r="M5" s="296">
        <f>汇总!M4</f>
        <v>0</v>
      </c>
      <c r="N5" s="296">
        <f>汇总!N4</f>
        <v>0</v>
      </c>
      <c r="O5" s="296">
        <f>汇总!O4</f>
        <v>0</v>
      </c>
      <c r="P5" s="296">
        <f>汇总!P4</f>
        <v>0</v>
      </c>
      <c r="Q5" s="296">
        <f>汇总!Q4</f>
        <v>0</v>
      </c>
      <c r="R5" s="296">
        <f>汇总!R4</f>
        <v>0</v>
      </c>
      <c r="S5" s="296">
        <f>汇总!S4</f>
        <v>0</v>
      </c>
      <c r="T5" s="296">
        <f>汇总!T4</f>
        <v>239793.1</v>
      </c>
      <c r="U5" s="296">
        <f>汇总!U4</f>
        <v>0</v>
      </c>
      <c r="V5" s="296">
        <f>汇总!V4</f>
        <v>0</v>
      </c>
      <c r="W5" s="296">
        <f>汇总!W4</f>
        <v>0</v>
      </c>
      <c r="X5" s="296">
        <f>汇总!X4</f>
        <v>-1840</v>
      </c>
      <c r="Y5" s="296">
        <f>汇总!Y4</f>
        <v>-1840</v>
      </c>
      <c r="Z5" s="296">
        <f>汇总!Z4+汇总!AA4+汇总!AB4</f>
        <v>23403.84</v>
      </c>
      <c r="AA5" s="296">
        <f>汇总!AC4</f>
        <v>20480</v>
      </c>
      <c r="AB5" s="296">
        <f>汇总!AD4</f>
        <v>7179.72</v>
      </c>
      <c r="AC5" s="296">
        <f>汇总!AE4</f>
        <v>190569.54</v>
      </c>
      <c r="AE5" s="309"/>
    </row>
    <row r="6" ht="21" customHeight="1" spans="1:31">
      <c r="A6" s="298"/>
      <c r="B6" s="299" t="s">
        <v>48</v>
      </c>
      <c r="C6" s="300">
        <f t="shared" ref="C6:AC6" si="0">SUM(C3:C5)</f>
        <v>78</v>
      </c>
      <c r="D6" s="301">
        <f t="shared" si="0"/>
        <v>1790300</v>
      </c>
      <c r="E6" s="301">
        <f t="shared" si="0"/>
        <v>0</v>
      </c>
      <c r="F6" s="301">
        <f t="shared" si="0"/>
        <v>0</v>
      </c>
      <c r="G6" s="301">
        <f t="shared" si="0"/>
        <v>0</v>
      </c>
      <c r="H6" s="301">
        <f t="shared" si="0"/>
        <v>0</v>
      </c>
      <c r="I6" s="301">
        <f t="shared" si="0"/>
        <v>49494.26</v>
      </c>
      <c r="J6" s="301">
        <f t="shared" si="0"/>
        <v>0</v>
      </c>
      <c r="K6" s="301">
        <f t="shared" si="0"/>
        <v>0</v>
      </c>
      <c r="L6" s="301">
        <f t="shared" si="0"/>
        <v>0</v>
      </c>
      <c r="M6" s="301">
        <f t="shared" si="0"/>
        <v>0</v>
      </c>
      <c r="N6" s="301">
        <f t="shared" si="0"/>
        <v>0</v>
      </c>
      <c r="O6" s="301">
        <f t="shared" si="0"/>
        <v>0</v>
      </c>
      <c r="P6" s="301">
        <f t="shared" si="0"/>
        <v>0</v>
      </c>
      <c r="Q6" s="301">
        <f t="shared" si="0"/>
        <v>0</v>
      </c>
      <c r="R6" s="301">
        <f t="shared" si="0"/>
        <v>800</v>
      </c>
      <c r="S6" s="301">
        <f t="shared" si="0"/>
        <v>800</v>
      </c>
      <c r="T6" s="301">
        <f t="shared" si="0"/>
        <v>1741605.74</v>
      </c>
      <c r="U6" s="301">
        <f t="shared" si="0"/>
        <v>0</v>
      </c>
      <c r="V6" s="301">
        <f t="shared" si="0"/>
        <v>0</v>
      </c>
      <c r="W6" s="301">
        <f t="shared" si="0"/>
        <v>0</v>
      </c>
      <c r="X6" s="301">
        <f t="shared" si="0"/>
        <v>-699.99</v>
      </c>
      <c r="Y6" s="301">
        <f t="shared" si="0"/>
        <v>-699.99</v>
      </c>
      <c r="Z6" s="301">
        <f t="shared" si="0"/>
        <v>154261.74</v>
      </c>
      <c r="AA6" s="301">
        <f t="shared" si="0"/>
        <v>131083.1</v>
      </c>
      <c r="AB6" s="301">
        <f t="shared" si="0"/>
        <v>126995.41</v>
      </c>
      <c r="AC6" s="301">
        <f t="shared" si="0"/>
        <v>1329965.48</v>
      </c>
      <c r="AE6" s="310"/>
    </row>
    <row r="7" ht="21" customHeight="1" spans="1:31">
      <c r="A7" s="293">
        <v>46174</v>
      </c>
      <c r="B7" s="294" t="s">
        <v>37</v>
      </c>
      <c r="C7" s="295">
        <v>9</v>
      </c>
      <c r="D7" s="296">
        <v>281000</v>
      </c>
      <c r="E7" s="296">
        <v>0</v>
      </c>
      <c r="F7" s="296">
        <v>0</v>
      </c>
      <c r="G7" s="296">
        <v>0</v>
      </c>
      <c r="H7" s="296">
        <v>0</v>
      </c>
      <c r="I7" s="296">
        <v>1379.31</v>
      </c>
      <c r="J7" s="296">
        <v>0</v>
      </c>
      <c r="K7" s="296">
        <v>0</v>
      </c>
      <c r="L7" s="296">
        <v>0</v>
      </c>
      <c r="M7" s="296">
        <v>0</v>
      </c>
      <c r="N7" s="296">
        <v>0</v>
      </c>
      <c r="O7" s="296">
        <v>0</v>
      </c>
      <c r="P7" s="296">
        <v>0</v>
      </c>
      <c r="Q7" s="296">
        <v>0</v>
      </c>
      <c r="R7" s="296">
        <v>1800</v>
      </c>
      <c r="S7" s="296">
        <v>1800</v>
      </c>
      <c r="T7" s="296">
        <v>281420.69</v>
      </c>
      <c r="U7" s="296">
        <v>0</v>
      </c>
      <c r="V7" s="296">
        <v>0</v>
      </c>
      <c r="W7" s="296">
        <v>0</v>
      </c>
      <c r="X7" s="296">
        <v>1800</v>
      </c>
      <c r="Y7" s="296">
        <v>1800</v>
      </c>
      <c r="Z7" s="296">
        <v>17961.91</v>
      </c>
      <c r="AA7" s="296">
        <v>13487.7</v>
      </c>
      <c r="AB7" s="296">
        <v>34488.18</v>
      </c>
      <c r="AC7" s="296">
        <v>213682.9</v>
      </c>
      <c r="AE7" s="309"/>
    </row>
    <row r="8" ht="21" customHeight="1" spans="1:31">
      <c r="A8" s="293"/>
      <c r="B8" s="294" t="s">
        <v>35</v>
      </c>
      <c r="C8" s="295">
        <v>55</v>
      </c>
      <c r="D8" s="296">
        <v>1244300</v>
      </c>
      <c r="E8" s="296">
        <v>0</v>
      </c>
      <c r="F8" s="296">
        <v>0</v>
      </c>
      <c r="G8" s="296">
        <v>0</v>
      </c>
      <c r="H8" s="296">
        <v>0</v>
      </c>
      <c r="I8" s="296">
        <v>145206.91</v>
      </c>
      <c r="J8" s="296">
        <v>0</v>
      </c>
      <c r="K8" s="296">
        <v>0</v>
      </c>
      <c r="L8" s="296">
        <v>0</v>
      </c>
      <c r="M8" s="296">
        <v>0</v>
      </c>
      <c r="N8" s="296">
        <v>0</v>
      </c>
      <c r="O8" s="296">
        <v>0</v>
      </c>
      <c r="P8" s="296">
        <v>0</v>
      </c>
      <c r="Q8" s="296">
        <v>0</v>
      </c>
      <c r="R8" s="296">
        <v>10800</v>
      </c>
      <c r="S8" s="296">
        <v>10800</v>
      </c>
      <c r="T8" s="296">
        <v>1109893.09</v>
      </c>
      <c r="U8" s="296">
        <v>0</v>
      </c>
      <c r="V8" s="296">
        <v>0</v>
      </c>
      <c r="W8" s="296">
        <v>0</v>
      </c>
      <c r="X8" s="296">
        <v>10800</v>
      </c>
      <c r="Y8" s="296">
        <v>10800</v>
      </c>
      <c r="Z8" s="296">
        <v>102917.69</v>
      </c>
      <c r="AA8" s="296">
        <v>66257.7</v>
      </c>
      <c r="AB8" s="296">
        <v>73910.59</v>
      </c>
      <c r="AC8" s="296">
        <v>856007.11</v>
      </c>
      <c r="AE8" s="309"/>
    </row>
    <row r="9" ht="21" customHeight="1" spans="1:31">
      <c r="A9" s="293"/>
      <c r="B9" s="294" t="s">
        <v>32</v>
      </c>
      <c r="C9" s="295">
        <v>12</v>
      </c>
      <c r="D9" s="296">
        <v>214000</v>
      </c>
      <c r="E9" s="296">
        <v>0</v>
      </c>
      <c r="F9" s="296">
        <v>0</v>
      </c>
      <c r="G9" s="296">
        <v>0</v>
      </c>
      <c r="H9" s="296">
        <v>0</v>
      </c>
      <c r="I9" s="296">
        <v>34344.83</v>
      </c>
      <c r="J9" s="296">
        <v>0</v>
      </c>
      <c r="K9" s="296">
        <v>5655.17</v>
      </c>
      <c r="L9" s="296">
        <v>0</v>
      </c>
      <c r="M9" s="296">
        <v>0</v>
      </c>
      <c r="N9" s="296">
        <v>0</v>
      </c>
      <c r="O9" s="296">
        <v>0</v>
      </c>
      <c r="P9" s="296">
        <v>0</v>
      </c>
      <c r="Q9" s="296">
        <v>0</v>
      </c>
      <c r="R9" s="296">
        <v>2800</v>
      </c>
      <c r="S9" s="296">
        <v>8455.17</v>
      </c>
      <c r="T9" s="296">
        <v>188110.34</v>
      </c>
      <c r="U9" s="296">
        <v>0</v>
      </c>
      <c r="V9" s="296">
        <v>0</v>
      </c>
      <c r="W9" s="296">
        <v>0</v>
      </c>
      <c r="X9" s="296">
        <v>2800</v>
      </c>
      <c r="Y9" s="296">
        <v>2800</v>
      </c>
      <c r="Z9" s="296">
        <v>18119.92</v>
      </c>
      <c r="AA9" s="296">
        <v>10500</v>
      </c>
      <c r="AB9" s="296">
        <v>6181.46</v>
      </c>
      <c r="AC9" s="296">
        <v>150508.96</v>
      </c>
      <c r="AE9" s="309"/>
    </row>
    <row r="10" ht="21" customHeight="1" spans="1:31">
      <c r="A10" s="298"/>
      <c r="B10" s="299" t="s">
        <v>48</v>
      </c>
      <c r="C10" s="300">
        <f t="shared" ref="C10:AC10" si="1">SUM(C7:C9)</f>
        <v>76</v>
      </c>
      <c r="D10" s="301">
        <f t="shared" si="1"/>
        <v>1739300</v>
      </c>
      <c r="E10" s="301">
        <f t="shared" si="1"/>
        <v>0</v>
      </c>
      <c r="F10" s="301">
        <f t="shared" si="1"/>
        <v>0</v>
      </c>
      <c r="G10" s="301">
        <f t="shared" si="1"/>
        <v>0</v>
      </c>
      <c r="H10" s="301">
        <f t="shared" si="1"/>
        <v>0</v>
      </c>
      <c r="I10" s="301">
        <f t="shared" si="1"/>
        <v>180931.05</v>
      </c>
      <c r="J10" s="301">
        <f t="shared" si="1"/>
        <v>0</v>
      </c>
      <c r="K10" s="301">
        <f t="shared" si="1"/>
        <v>5655.17</v>
      </c>
      <c r="L10" s="301">
        <f t="shared" si="1"/>
        <v>0</v>
      </c>
      <c r="M10" s="301">
        <f t="shared" si="1"/>
        <v>0</v>
      </c>
      <c r="N10" s="301">
        <f t="shared" si="1"/>
        <v>0</v>
      </c>
      <c r="O10" s="301">
        <f t="shared" si="1"/>
        <v>0</v>
      </c>
      <c r="P10" s="301">
        <f t="shared" si="1"/>
        <v>0</v>
      </c>
      <c r="Q10" s="301">
        <f t="shared" si="1"/>
        <v>0</v>
      </c>
      <c r="R10" s="301">
        <f t="shared" si="1"/>
        <v>15400</v>
      </c>
      <c r="S10" s="301">
        <f t="shared" si="1"/>
        <v>21055.17</v>
      </c>
      <c r="T10" s="301">
        <f t="shared" si="1"/>
        <v>1579424.12</v>
      </c>
      <c r="U10" s="301">
        <f t="shared" si="1"/>
        <v>0</v>
      </c>
      <c r="V10" s="301">
        <f t="shared" si="1"/>
        <v>0</v>
      </c>
      <c r="W10" s="301">
        <f t="shared" si="1"/>
        <v>0</v>
      </c>
      <c r="X10" s="301">
        <f t="shared" si="1"/>
        <v>15400</v>
      </c>
      <c r="Y10" s="301">
        <f t="shared" si="1"/>
        <v>15400</v>
      </c>
      <c r="Z10" s="301">
        <f t="shared" si="1"/>
        <v>138999.52</v>
      </c>
      <c r="AA10" s="301">
        <f t="shared" si="1"/>
        <v>90245.4</v>
      </c>
      <c r="AB10" s="301">
        <f t="shared" si="1"/>
        <v>114580.23</v>
      </c>
      <c r="AC10" s="301">
        <f t="shared" si="1"/>
        <v>1220198.97</v>
      </c>
      <c r="AE10" s="309"/>
    </row>
    <row r="11" ht="21" customHeight="1" spans="1:31">
      <c r="A11" s="298" t="s">
        <v>49</v>
      </c>
      <c r="B11" s="294" t="s">
        <v>37</v>
      </c>
      <c r="C11" s="295">
        <f t="shared" ref="C11:AC11" si="2">C3-C7</f>
        <v>0</v>
      </c>
      <c r="D11" s="296">
        <f t="shared" si="2"/>
        <v>0</v>
      </c>
      <c r="E11" s="296">
        <f t="shared" si="2"/>
        <v>0</v>
      </c>
      <c r="F11" s="296">
        <f t="shared" si="2"/>
        <v>0</v>
      </c>
      <c r="G11" s="296">
        <f t="shared" si="2"/>
        <v>0</v>
      </c>
      <c r="H11" s="296">
        <f t="shared" si="2"/>
        <v>0</v>
      </c>
      <c r="I11" s="296">
        <f t="shared" si="2"/>
        <v>-1379.31</v>
      </c>
      <c r="J11" s="296">
        <f t="shared" si="2"/>
        <v>0</v>
      </c>
      <c r="K11" s="296">
        <f t="shared" si="2"/>
        <v>0</v>
      </c>
      <c r="L11" s="296">
        <f t="shared" si="2"/>
        <v>0</v>
      </c>
      <c r="M11" s="296">
        <f t="shared" si="2"/>
        <v>0</v>
      </c>
      <c r="N11" s="296">
        <f t="shared" si="2"/>
        <v>0</v>
      </c>
      <c r="O11" s="296">
        <f t="shared" si="2"/>
        <v>0</v>
      </c>
      <c r="P11" s="296">
        <f t="shared" si="2"/>
        <v>0</v>
      </c>
      <c r="Q11" s="296">
        <f t="shared" si="2"/>
        <v>0</v>
      </c>
      <c r="R11" s="296">
        <f t="shared" si="2"/>
        <v>-1800</v>
      </c>
      <c r="S11" s="296">
        <f t="shared" si="2"/>
        <v>-1800</v>
      </c>
      <c r="T11" s="296">
        <f t="shared" si="2"/>
        <v>-420.690000000002</v>
      </c>
      <c r="U11" s="296">
        <f t="shared" si="2"/>
        <v>0</v>
      </c>
      <c r="V11" s="296">
        <f t="shared" si="2"/>
        <v>0</v>
      </c>
      <c r="W11" s="296">
        <f t="shared" si="2"/>
        <v>0</v>
      </c>
      <c r="X11" s="296">
        <f t="shared" si="2"/>
        <v>-1940.24</v>
      </c>
      <c r="Y11" s="296">
        <f t="shared" si="2"/>
        <v>-1940.24</v>
      </c>
      <c r="Z11" s="296">
        <f t="shared" si="2"/>
        <v>24.2900000000009</v>
      </c>
      <c r="AA11" s="296">
        <f t="shared" si="2"/>
        <v>8251.8</v>
      </c>
      <c r="AB11" s="296">
        <f t="shared" si="2"/>
        <v>89.5299999999988</v>
      </c>
      <c r="AC11" s="296">
        <f t="shared" si="2"/>
        <v>-6846.07000000001</v>
      </c>
      <c r="AE11" s="309"/>
    </row>
    <row r="12" ht="21" customHeight="1" spans="1:31">
      <c r="A12" s="298"/>
      <c r="B12" s="294" t="s">
        <v>35</v>
      </c>
      <c r="C12" s="295">
        <f t="shared" ref="C12:AC12" si="3">C4-C8</f>
        <v>0</v>
      </c>
      <c r="D12" s="296">
        <f t="shared" si="3"/>
        <v>19000</v>
      </c>
      <c r="E12" s="296">
        <f t="shared" si="3"/>
        <v>0</v>
      </c>
      <c r="F12" s="296">
        <f t="shared" si="3"/>
        <v>0</v>
      </c>
      <c r="G12" s="296">
        <f t="shared" si="3"/>
        <v>0</v>
      </c>
      <c r="H12" s="296">
        <f t="shared" si="3"/>
        <v>0</v>
      </c>
      <c r="I12" s="296">
        <f t="shared" si="3"/>
        <v>-101919.55</v>
      </c>
      <c r="J12" s="296">
        <f t="shared" si="3"/>
        <v>0</v>
      </c>
      <c r="K12" s="296">
        <f t="shared" si="3"/>
        <v>0</v>
      </c>
      <c r="L12" s="296">
        <f t="shared" si="3"/>
        <v>0</v>
      </c>
      <c r="M12" s="296">
        <f t="shared" si="3"/>
        <v>0</v>
      </c>
      <c r="N12" s="296">
        <f t="shared" si="3"/>
        <v>0</v>
      </c>
      <c r="O12" s="296">
        <f t="shared" si="3"/>
        <v>0</v>
      </c>
      <c r="P12" s="296">
        <f t="shared" si="3"/>
        <v>0</v>
      </c>
      <c r="Q12" s="296">
        <f t="shared" si="3"/>
        <v>0</v>
      </c>
      <c r="R12" s="296">
        <f t="shared" si="3"/>
        <v>-10000</v>
      </c>
      <c r="S12" s="296">
        <f t="shared" si="3"/>
        <v>-10000</v>
      </c>
      <c r="T12" s="296">
        <f t="shared" si="3"/>
        <v>110919.55</v>
      </c>
      <c r="U12" s="296">
        <f t="shared" si="3"/>
        <v>0</v>
      </c>
      <c r="V12" s="296">
        <f t="shared" si="3"/>
        <v>0</v>
      </c>
      <c r="W12" s="296">
        <f t="shared" si="3"/>
        <v>0</v>
      </c>
      <c r="X12" s="296">
        <f t="shared" si="3"/>
        <v>-9519.75</v>
      </c>
      <c r="Y12" s="296">
        <f t="shared" si="3"/>
        <v>-9519.75</v>
      </c>
      <c r="Z12" s="296">
        <f t="shared" si="3"/>
        <v>9954.00999999997</v>
      </c>
      <c r="AA12" s="296">
        <f t="shared" si="3"/>
        <v>22605.9</v>
      </c>
      <c r="AB12" s="296">
        <f t="shared" si="3"/>
        <v>11327.39</v>
      </c>
      <c r="AC12" s="296">
        <f t="shared" si="3"/>
        <v>76551.9999999998</v>
      </c>
      <c r="AE12" s="309"/>
    </row>
    <row r="13" ht="21" customHeight="1" spans="1:31">
      <c r="A13" s="298"/>
      <c r="B13" s="294" t="s">
        <v>32</v>
      </c>
      <c r="C13" s="295">
        <f t="shared" ref="C13:AC13" si="4">C5-C9</f>
        <v>2</v>
      </c>
      <c r="D13" s="296">
        <f t="shared" si="4"/>
        <v>32000</v>
      </c>
      <c r="E13" s="296">
        <f t="shared" si="4"/>
        <v>0</v>
      </c>
      <c r="F13" s="296">
        <f t="shared" si="4"/>
        <v>0</v>
      </c>
      <c r="G13" s="296">
        <f t="shared" si="4"/>
        <v>0</v>
      </c>
      <c r="H13" s="296">
        <f t="shared" si="4"/>
        <v>0</v>
      </c>
      <c r="I13" s="296">
        <f t="shared" si="4"/>
        <v>-28137.93</v>
      </c>
      <c r="J13" s="296">
        <f t="shared" si="4"/>
        <v>0</v>
      </c>
      <c r="K13" s="296">
        <f t="shared" si="4"/>
        <v>-5655.17</v>
      </c>
      <c r="L13" s="296">
        <f t="shared" si="4"/>
        <v>0</v>
      </c>
      <c r="M13" s="296">
        <f t="shared" si="4"/>
        <v>0</v>
      </c>
      <c r="N13" s="296">
        <f t="shared" si="4"/>
        <v>0</v>
      </c>
      <c r="O13" s="296">
        <f t="shared" si="4"/>
        <v>0</v>
      </c>
      <c r="P13" s="296">
        <f t="shared" si="4"/>
        <v>0</v>
      </c>
      <c r="Q13" s="296">
        <f t="shared" si="4"/>
        <v>0</v>
      </c>
      <c r="R13" s="296">
        <f t="shared" si="4"/>
        <v>-2800</v>
      </c>
      <c r="S13" s="296">
        <f t="shared" si="4"/>
        <v>-8455.17</v>
      </c>
      <c r="T13" s="296">
        <f t="shared" si="4"/>
        <v>51682.76</v>
      </c>
      <c r="U13" s="296">
        <f t="shared" si="4"/>
        <v>0</v>
      </c>
      <c r="V13" s="296">
        <f t="shared" si="4"/>
        <v>0</v>
      </c>
      <c r="W13" s="296">
        <f t="shared" si="4"/>
        <v>0</v>
      </c>
      <c r="X13" s="296">
        <f t="shared" si="4"/>
        <v>-4640</v>
      </c>
      <c r="Y13" s="296">
        <f t="shared" si="4"/>
        <v>-4640</v>
      </c>
      <c r="Z13" s="296">
        <f t="shared" si="4"/>
        <v>5283.92</v>
      </c>
      <c r="AA13" s="296">
        <f t="shared" si="4"/>
        <v>9980</v>
      </c>
      <c r="AB13" s="296">
        <f t="shared" si="4"/>
        <v>998.260000000001</v>
      </c>
      <c r="AC13" s="296">
        <f t="shared" si="4"/>
        <v>40060.58</v>
      </c>
      <c r="AE13" s="309"/>
    </row>
    <row r="14" ht="21" customHeight="1" spans="1:31">
      <c r="A14" s="298"/>
      <c r="B14" s="299" t="s">
        <v>48</v>
      </c>
      <c r="C14" s="300">
        <f t="shared" ref="C14:AC14" si="5">SUM(C11:C13)</f>
        <v>2</v>
      </c>
      <c r="D14" s="301">
        <f t="shared" si="5"/>
        <v>51000</v>
      </c>
      <c r="E14" s="301">
        <f t="shared" si="5"/>
        <v>0</v>
      </c>
      <c r="F14" s="301">
        <f t="shared" si="5"/>
        <v>0</v>
      </c>
      <c r="G14" s="301">
        <f t="shared" si="5"/>
        <v>0</v>
      </c>
      <c r="H14" s="301">
        <f t="shared" si="5"/>
        <v>0</v>
      </c>
      <c r="I14" s="301">
        <f t="shared" si="5"/>
        <v>-131436.79</v>
      </c>
      <c r="J14" s="301">
        <f t="shared" si="5"/>
        <v>0</v>
      </c>
      <c r="K14" s="301">
        <f t="shared" si="5"/>
        <v>-5655.17</v>
      </c>
      <c r="L14" s="301">
        <f t="shared" si="5"/>
        <v>0</v>
      </c>
      <c r="M14" s="301">
        <f t="shared" si="5"/>
        <v>0</v>
      </c>
      <c r="N14" s="301">
        <f t="shared" si="5"/>
        <v>0</v>
      </c>
      <c r="O14" s="301">
        <f t="shared" si="5"/>
        <v>0</v>
      </c>
      <c r="P14" s="301">
        <f t="shared" si="5"/>
        <v>0</v>
      </c>
      <c r="Q14" s="301">
        <f t="shared" si="5"/>
        <v>0</v>
      </c>
      <c r="R14" s="301">
        <f t="shared" si="5"/>
        <v>-14600</v>
      </c>
      <c r="S14" s="301">
        <f t="shared" si="5"/>
        <v>-20255.17</v>
      </c>
      <c r="T14" s="301">
        <f t="shared" si="5"/>
        <v>162181.62</v>
      </c>
      <c r="U14" s="301">
        <f t="shared" si="5"/>
        <v>0</v>
      </c>
      <c r="V14" s="301">
        <f t="shared" si="5"/>
        <v>0</v>
      </c>
      <c r="W14" s="301">
        <f t="shared" si="5"/>
        <v>0</v>
      </c>
      <c r="X14" s="301">
        <f t="shared" si="5"/>
        <v>-16099.99</v>
      </c>
      <c r="Y14" s="301">
        <f t="shared" si="5"/>
        <v>-16099.99</v>
      </c>
      <c r="Z14" s="301">
        <f t="shared" si="5"/>
        <v>15262.22</v>
      </c>
      <c r="AA14" s="301">
        <f t="shared" si="5"/>
        <v>40837.7</v>
      </c>
      <c r="AB14" s="301">
        <f t="shared" si="5"/>
        <v>12415.18</v>
      </c>
      <c r="AC14" s="301">
        <f t="shared" si="5"/>
        <v>109766.51</v>
      </c>
      <c r="AE14" s="309"/>
    </row>
    <row r="15" spans="1:31">
      <c r="D15" s="309"/>
      <c r="E15" s="309"/>
      <c r="F15" s="309"/>
      <c r="G15" s="309"/>
      <c r="H15" s="309"/>
      <c r="I15" s="309"/>
      <c r="J15" s="309"/>
      <c r="K15" s="309"/>
      <c r="L15" s="309"/>
      <c r="M15" s="309"/>
      <c r="N15" s="309"/>
      <c r="O15" s="309"/>
      <c r="P15" s="309"/>
      <c r="Q15" s="309"/>
      <c r="R15" s="309"/>
      <c r="S15" s="309"/>
      <c r="T15" s="309"/>
      <c r="U15" s="309"/>
      <c r="V15" s="309"/>
      <c r="W15" s="309"/>
      <c r="X15" s="309"/>
      <c r="Y15" s="309"/>
      <c r="Z15" s="309"/>
      <c r="AA15" s="309"/>
      <c r="AB15" s="309"/>
      <c r="AC15" s="309"/>
    </row>
    <row r="16" s="203" customFormat="1"/>
    <row r="17" s="204" customFormat="1" spans="2:29">
      <c r="B17" s="4" t="s">
        <v>50</v>
      </c>
      <c r="C17" s="4">
        <f>C6-工资表明细!L83</f>
        <v>0</v>
      </c>
      <c r="D17" s="148">
        <f>D6-工资表明细!P83</f>
        <v>0</v>
      </c>
      <c r="E17" s="148">
        <f>E6-工资表明细!Q83</f>
        <v>0</v>
      </c>
      <c r="F17" s="148">
        <f>F6-工资表明细!R83</f>
        <v>0</v>
      </c>
      <c r="G17" s="148">
        <f>G6-工资表明细!S83</f>
        <v>0</v>
      </c>
      <c r="H17" s="148">
        <f>H6-工资表明细!T83</f>
        <v>0</v>
      </c>
      <c r="I17" s="148">
        <f>I6-工资表明细!U83</f>
        <v>0</v>
      </c>
      <c r="J17" s="148">
        <f>J6-工资表明细!V83</f>
        <v>0</v>
      </c>
      <c r="K17" s="148">
        <f>K6-工资表明细!W83</f>
        <v>0</v>
      </c>
      <c r="L17" s="148">
        <f>L6-工资表明细!X83</f>
        <v>0</v>
      </c>
      <c r="M17" s="148">
        <f>M6-工资表明细!Y83</f>
        <v>0</v>
      </c>
      <c r="N17" s="148">
        <f>N6-工资表明细!Z83</f>
        <v>0</v>
      </c>
      <c r="O17" s="148">
        <f>O6-工资表明细!AA83</f>
        <v>0</v>
      </c>
      <c r="P17" s="148">
        <f>P6-工资表明细!AB83</f>
        <v>0</v>
      </c>
      <c r="Q17" s="148">
        <f>Q6-工资表明细!AC83</f>
        <v>0</v>
      </c>
      <c r="R17" s="148">
        <f>R6-工资表明细!AD83</f>
        <v>0</v>
      </c>
      <c r="S17" s="148">
        <f>S6-工资表明细!AE83</f>
        <v>0</v>
      </c>
      <c r="T17" s="148">
        <f>T6-工资表明细!AF83</f>
        <v>0</v>
      </c>
      <c r="U17" s="4">
        <f>U6-工资表明细!AG83</f>
        <v>0</v>
      </c>
      <c r="V17" s="4">
        <f>V6-工资表明细!AH83</f>
        <v>0</v>
      </c>
      <c r="W17" s="4">
        <f>W6-工资表明细!AI83</f>
        <v>0</v>
      </c>
      <c r="X17" s="4">
        <f>X6-工资表明细!AJ83</f>
        <v>0</v>
      </c>
      <c r="Y17" s="4">
        <f>Y6-工资表明细!AK83</f>
        <v>0</v>
      </c>
      <c r="Z17" s="4">
        <f>Z6-工资表明细!AL83-工资表明细!AM83-工资表明细!AN83</f>
        <v>-1.63709046319127e-11</v>
      </c>
      <c r="AA17" s="4">
        <f>AA6-工资表明细!AO83</f>
        <v>0</v>
      </c>
      <c r="AB17" s="4">
        <f>AB6-工资表明细!BE83</f>
        <v>0</v>
      </c>
      <c r="AC17" s="4">
        <f>AC6-工资表明细!BF83</f>
        <v>0</v>
      </c>
    </row>
    <row r="18" s="203" customFormat="1" ht="17.25" spans="2:29">
      <c r="D18" s="311"/>
      <c r="AA18" s="312"/>
      <c r="AB18" s="312"/>
      <c r="AC18" s="312"/>
    </row>
    <row r="19" s="1" customFormat="1"/>
    <row r="20" s="205" customFormat="1"/>
    <row r="21" spans="2:29"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5"/>
      <c r="N21" s="205"/>
      <c r="O21" s="205"/>
      <c r="P21" s="205"/>
      <c r="Q21" s="205"/>
      <c r="R21" s="205"/>
      <c r="S21" s="205"/>
      <c r="T21" s="205"/>
    </row>
    <row r="22" spans="2:29"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</row>
  </sheetData>
  <sheetProtection selectLockedCells="1" selectUnlockedCells="1"/>
  <mergeCells count="4">
    <mergeCell ref="A1:AC1"/>
    <mergeCell ref="A3:A6"/>
    <mergeCell ref="A7:A10"/>
    <mergeCell ref="A11:A14"/>
  </mergeCells>
  <pageMargins left="0.707638888888889" right="0.707638888888889" top="0.747916666666667" bottom="0.747916666666667" header="0.313888888888889" footer="0.313888888888889"/>
  <pageSetup paperSize="9" scale="47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theme="4" tint="-0.499984740745262"/>
    <pageSetUpPr fitToPage="1"/>
  </sheetPr>
  <dimension ref="A1:AE19"/>
  <sheetViews>
    <sheetView showGridLines="0" workbookViewId="0">
      <pane xSplit="4" ySplit="2" topLeftCell="E3" activePane="bottomRight" state="frozen"/>
      <selection/>
      <selection pane="topRight"/>
      <selection pane="bottomLeft"/>
      <selection pane="bottomRight" activeCell="B31" sqref="B31"/>
    </sheetView>
  </sheetViews>
  <sheetFormatPr defaultColWidth="9.14285714285714" defaultRowHeight="16.5"/>
  <cols>
    <col min="1" max="1" width="16.5714285714286" style="206" customWidth="1"/>
    <col min="2" max="2" width="11.7142857142857" style="206" customWidth="1"/>
    <col min="3" max="3" width="12.4285714285714" style="206" customWidth="1"/>
    <col min="4" max="4" width="18.5714285714286" style="206" customWidth="1"/>
    <col min="5" max="6" width="13.8571428571429" style="206" customWidth="1"/>
    <col min="7" max="8" width="14.5714285714286" style="206" customWidth="1"/>
    <col min="9" max="9" width="14.4285714285714" style="206" customWidth="1"/>
    <col min="10" max="10" width="14" style="206" customWidth="1"/>
    <col min="11" max="12" width="15.1428571428571" style="206" customWidth="1"/>
    <col min="13" max="14" width="15.4285714285714" style="206" customWidth="1"/>
    <col min="15" max="15" width="16.1428571428571" style="206" customWidth="1"/>
    <col min="16" max="17" width="14.8571428571429" style="206" customWidth="1"/>
    <col min="18" max="18" width="16.1428571428571" style="206" customWidth="1"/>
    <col min="19" max="19" width="16.2857142857143" style="206" customWidth="1"/>
    <col min="20" max="20" width="19.4285714285714" style="206" customWidth="1"/>
    <col min="21" max="21" width="16" style="206" hidden="1" customWidth="1"/>
    <col min="22" max="22" width="15" style="206" hidden="1" customWidth="1"/>
    <col min="23" max="23" width="13" style="206" hidden="1" customWidth="1"/>
    <col min="24" max="24" width="14.8571428571429" style="206" hidden="1" customWidth="1"/>
    <col min="25" max="25" width="15.4285714285714" style="206" hidden="1" customWidth="1"/>
    <col min="26" max="26" width="15.1428571428571" style="206" hidden="1" customWidth="1"/>
    <col min="27" max="27" width="14.2857142857143" style="206" hidden="1" customWidth="1"/>
    <col min="28" max="28" width="15.2857142857143" style="206" hidden="1" customWidth="1"/>
    <col min="29" max="29" width="16.5714285714286" style="206" hidden="1" customWidth="1"/>
    <col min="30" max="30" width="13.8571428571429" style="203" customWidth="1"/>
    <col min="31" max="31" width="18.7142857142857" style="203" customWidth="1"/>
    <col min="32" max="32" width="9.71428571428571" style="206" customWidth="1"/>
    <col min="33" max="16384" width="9.14285714285714" style="206"/>
  </cols>
  <sheetData>
    <row r="1" ht="31.5" customHeight="1" spans="1:31">
      <c r="A1" s="289" t="s">
        <v>51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</row>
    <row r="2" ht="29.25" customHeight="1" spans="1:31">
      <c r="A2" s="290" t="s">
        <v>41</v>
      </c>
      <c r="B2" s="290" t="s">
        <v>42</v>
      </c>
      <c r="C2" s="290" t="s">
        <v>3</v>
      </c>
      <c r="D2" s="290" t="s">
        <v>43</v>
      </c>
      <c r="E2" s="290" t="s">
        <v>5</v>
      </c>
      <c r="F2" s="290" t="s">
        <v>6</v>
      </c>
      <c r="G2" s="290" t="s">
        <v>7</v>
      </c>
      <c r="H2" s="290" t="s">
        <v>8</v>
      </c>
      <c r="I2" s="290" t="s">
        <v>9</v>
      </c>
      <c r="J2" s="290" t="s">
        <v>10</v>
      </c>
      <c r="K2" s="290" t="s">
        <v>11</v>
      </c>
      <c r="L2" s="290" t="s">
        <v>12</v>
      </c>
      <c r="M2" s="290" t="s">
        <v>13</v>
      </c>
      <c r="N2" s="290" t="s">
        <v>14</v>
      </c>
      <c r="O2" s="290" t="s">
        <v>15</v>
      </c>
      <c r="P2" s="290" t="s">
        <v>16</v>
      </c>
      <c r="Q2" s="290" t="s">
        <v>17</v>
      </c>
      <c r="R2" s="290" t="s">
        <v>18</v>
      </c>
      <c r="S2" s="290" t="s">
        <v>19</v>
      </c>
      <c r="T2" s="290" t="s">
        <v>20</v>
      </c>
      <c r="U2" s="291" t="s">
        <v>21</v>
      </c>
      <c r="V2" s="291" t="s">
        <v>44</v>
      </c>
      <c r="W2" s="291" t="s">
        <v>45</v>
      </c>
      <c r="X2" s="291" t="s">
        <v>24</v>
      </c>
      <c r="Y2" s="291" t="s">
        <v>25</v>
      </c>
      <c r="Z2" s="291" t="s">
        <v>46</v>
      </c>
      <c r="AA2" s="291" t="s">
        <v>29</v>
      </c>
      <c r="AB2" s="291" t="s">
        <v>47</v>
      </c>
      <c r="AC2" s="292" t="s">
        <v>31</v>
      </c>
    </row>
    <row r="3" ht="20.25" customHeight="1" spans="1:31">
      <c r="A3" s="293">
        <v>46023</v>
      </c>
      <c r="B3" s="294" t="s">
        <v>37</v>
      </c>
      <c r="C3" s="295">
        <f>环比变动!C3</f>
        <v>9</v>
      </c>
      <c r="D3" s="296">
        <f>环比变动!D3</f>
        <v>281000</v>
      </c>
      <c r="E3" s="296">
        <f>环比变动!E3</f>
        <v>0</v>
      </c>
      <c r="F3" s="296">
        <f>环比变动!F3</f>
        <v>0</v>
      </c>
      <c r="G3" s="296">
        <f>环比变动!G3</f>
        <v>0</v>
      </c>
      <c r="H3" s="296">
        <f>环比变动!H3</f>
        <v>0</v>
      </c>
      <c r="I3" s="296">
        <f>环比变动!I3</f>
        <v>0</v>
      </c>
      <c r="J3" s="296">
        <f>环比变动!J3</f>
        <v>0</v>
      </c>
      <c r="K3" s="296">
        <f>环比变动!K3</f>
        <v>0</v>
      </c>
      <c r="L3" s="296">
        <f>环比变动!L3</f>
        <v>0</v>
      </c>
      <c r="M3" s="296">
        <f>环比变动!M3</f>
        <v>0</v>
      </c>
      <c r="N3" s="296">
        <f>环比变动!N3</f>
        <v>0</v>
      </c>
      <c r="O3" s="296">
        <f>环比变动!O3</f>
        <v>0</v>
      </c>
      <c r="P3" s="296">
        <f>环比变动!P3</f>
        <v>0</v>
      </c>
      <c r="Q3" s="296">
        <f>环比变动!Q3</f>
        <v>0</v>
      </c>
      <c r="R3" s="296">
        <f>环比变动!R3</f>
        <v>0</v>
      </c>
      <c r="S3" s="296">
        <f>环比变动!S3</f>
        <v>0</v>
      </c>
      <c r="T3" s="296">
        <f>环比变动!T3</f>
        <v>281000</v>
      </c>
      <c r="U3" s="296">
        <f>环比变动!U3</f>
        <v>0</v>
      </c>
      <c r="V3" s="296">
        <f>环比变动!V3</f>
        <v>0</v>
      </c>
      <c r="W3" s="296">
        <f>环比变动!W3</f>
        <v>0</v>
      </c>
      <c r="X3" s="296">
        <f>环比变动!X3</f>
        <v>-140.24</v>
      </c>
      <c r="Y3" s="296">
        <f>环比变动!Y3</f>
        <v>-140.24</v>
      </c>
      <c r="Z3" s="296">
        <f>环比变动!Z3</f>
        <v>17986.2</v>
      </c>
      <c r="AA3" s="296">
        <f>环比变动!AA3</f>
        <v>21739.5</v>
      </c>
      <c r="AB3" s="296">
        <f>环比变动!AB3</f>
        <v>34577.71</v>
      </c>
      <c r="AC3" s="296">
        <f>环比变动!AC3</f>
        <v>206836.83</v>
      </c>
      <c r="AE3" s="297"/>
    </row>
    <row r="4" ht="20.25" customHeight="1" spans="1:31">
      <c r="A4" s="293"/>
      <c r="B4" s="294" t="s">
        <v>35</v>
      </c>
      <c r="C4" s="295">
        <f>环比变动!C4</f>
        <v>55</v>
      </c>
      <c r="D4" s="296">
        <f>环比变动!D4</f>
        <v>1263300</v>
      </c>
      <c r="E4" s="296">
        <f>环比变动!E4</f>
        <v>0</v>
      </c>
      <c r="F4" s="296">
        <f>环比变动!F4</f>
        <v>0</v>
      </c>
      <c r="G4" s="296">
        <f>环比变动!G4</f>
        <v>0</v>
      </c>
      <c r="H4" s="296">
        <f>环比变动!H4</f>
        <v>0</v>
      </c>
      <c r="I4" s="296">
        <f>环比变动!I4</f>
        <v>43287.36</v>
      </c>
      <c r="J4" s="296">
        <f>环比变动!J4</f>
        <v>0</v>
      </c>
      <c r="K4" s="296">
        <f>环比变动!K4</f>
        <v>0</v>
      </c>
      <c r="L4" s="296">
        <f>环比变动!L4</f>
        <v>0</v>
      </c>
      <c r="M4" s="296">
        <f>环比变动!M4</f>
        <v>0</v>
      </c>
      <c r="N4" s="296">
        <f>环比变动!N4</f>
        <v>0</v>
      </c>
      <c r="O4" s="296">
        <f>环比变动!O4</f>
        <v>0</v>
      </c>
      <c r="P4" s="296">
        <f>环比变动!P4</f>
        <v>0</v>
      </c>
      <c r="Q4" s="296">
        <f>环比变动!Q4</f>
        <v>0</v>
      </c>
      <c r="R4" s="296">
        <f>环比变动!R4</f>
        <v>800</v>
      </c>
      <c r="S4" s="296">
        <f>环比变动!S4</f>
        <v>800</v>
      </c>
      <c r="T4" s="296">
        <f>环比变动!T4</f>
        <v>1220812.64</v>
      </c>
      <c r="U4" s="296">
        <f>环比变动!U4</f>
        <v>0</v>
      </c>
      <c r="V4" s="296">
        <f>环比变动!V4</f>
        <v>0</v>
      </c>
      <c r="W4" s="296">
        <f>环比变动!W4</f>
        <v>0</v>
      </c>
      <c r="X4" s="296">
        <f>环比变动!X4</f>
        <v>1280.25</v>
      </c>
      <c r="Y4" s="296">
        <f>环比变动!Y4</f>
        <v>1280.25</v>
      </c>
      <c r="Z4" s="296">
        <f>环比变动!Z4</f>
        <v>112871.7</v>
      </c>
      <c r="AA4" s="296">
        <f>环比变动!AA4</f>
        <v>88863.6</v>
      </c>
      <c r="AB4" s="296">
        <f>环比变动!AB4</f>
        <v>85237.98</v>
      </c>
      <c r="AC4" s="296">
        <f>环比变动!AC4</f>
        <v>932559.11</v>
      </c>
      <c r="AE4" s="297"/>
    </row>
    <row r="5" ht="20.25" customHeight="1" spans="1:31">
      <c r="A5" s="293"/>
      <c r="B5" s="294" t="s">
        <v>32</v>
      </c>
      <c r="C5" s="295">
        <f>环比变动!C5</f>
        <v>14</v>
      </c>
      <c r="D5" s="296">
        <f>环比变动!D5</f>
        <v>246000</v>
      </c>
      <c r="E5" s="296">
        <f>环比变动!E5</f>
        <v>0</v>
      </c>
      <c r="F5" s="296">
        <f>环比变动!F5</f>
        <v>0</v>
      </c>
      <c r="G5" s="296">
        <f>环比变动!G5</f>
        <v>0</v>
      </c>
      <c r="H5" s="296">
        <f>环比变动!H5</f>
        <v>0</v>
      </c>
      <c r="I5" s="296">
        <f>环比变动!I5</f>
        <v>6206.9</v>
      </c>
      <c r="J5" s="296">
        <f>环比变动!J5</f>
        <v>0</v>
      </c>
      <c r="K5" s="296">
        <f>环比变动!K5</f>
        <v>0</v>
      </c>
      <c r="L5" s="296">
        <f>环比变动!L5</f>
        <v>0</v>
      </c>
      <c r="M5" s="296">
        <f>环比变动!M5</f>
        <v>0</v>
      </c>
      <c r="N5" s="296">
        <f>环比变动!N5</f>
        <v>0</v>
      </c>
      <c r="O5" s="296">
        <f>环比变动!O5</f>
        <v>0</v>
      </c>
      <c r="P5" s="296">
        <f>环比变动!P5</f>
        <v>0</v>
      </c>
      <c r="Q5" s="296">
        <f>环比变动!Q5</f>
        <v>0</v>
      </c>
      <c r="R5" s="296">
        <f>环比变动!R5</f>
        <v>0</v>
      </c>
      <c r="S5" s="296">
        <f>环比变动!S5</f>
        <v>0</v>
      </c>
      <c r="T5" s="296">
        <f>环比变动!T5</f>
        <v>239793.1</v>
      </c>
      <c r="U5" s="296">
        <f>环比变动!U5</f>
        <v>0</v>
      </c>
      <c r="V5" s="296">
        <f>环比变动!V5</f>
        <v>0</v>
      </c>
      <c r="W5" s="296">
        <f>环比变动!W5</f>
        <v>0</v>
      </c>
      <c r="X5" s="296">
        <f>环比变动!X5</f>
        <v>-1840</v>
      </c>
      <c r="Y5" s="296">
        <f>环比变动!Y5</f>
        <v>-1840</v>
      </c>
      <c r="Z5" s="296">
        <f>环比变动!Z5</f>
        <v>23403.84</v>
      </c>
      <c r="AA5" s="296">
        <f>环比变动!AA5</f>
        <v>20480</v>
      </c>
      <c r="AB5" s="296">
        <f>环比变动!AB5</f>
        <v>7179.72</v>
      </c>
      <c r="AC5" s="296">
        <f>环比变动!AC5</f>
        <v>190569.54</v>
      </c>
      <c r="AE5" s="297"/>
    </row>
    <row r="6" ht="20.25" customHeight="1" spans="1:31">
      <c r="A6" s="298"/>
      <c r="B6" s="299" t="s">
        <v>48</v>
      </c>
      <c r="C6" s="300">
        <f t="shared" ref="C6:AC6" si="0">SUM(C3:C5)</f>
        <v>78</v>
      </c>
      <c r="D6" s="301">
        <f t="shared" si="0"/>
        <v>1790300</v>
      </c>
      <c r="E6" s="301">
        <f t="shared" si="0"/>
        <v>0</v>
      </c>
      <c r="F6" s="301">
        <f t="shared" si="0"/>
        <v>0</v>
      </c>
      <c r="G6" s="301">
        <f t="shared" si="0"/>
        <v>0</v>
      </c>
      <c r="H6" s="301">
        <f t="shared" si="0"/>
        <v>0</v>
      </c>
      <c r="I6" s="301">
        <f t="shared" si="0"/>
        <v>49494.26</v>
      </c>
      <c r="J6" s="301">
        <f t="shared" si="0"/>
        <v>0</v>
      </c>
      <c r="K6" s="301">
        <f t="shared" si="0"/>
        <v>0</v>
      </c>
      <c r="L6" s="301">
        <f t="shared" si="0"/>
        <v>0</v>
      </c>
      <c r="M6" s="301">
        <f t="shared" si="0"/>
        <v>0</v>
      </c>
      <c r="N6" s="301">
        <f t="shared" si="0"/>
        <v>0</v>
      </c>
      <c r="O6" s="301">
        <f t="shared" si="0"/>
        <v>0</v>
      </c>
      <c r="P6" s="301">
        <f t="shared" si="0"/>
        <v>0</v>
      </c>
      <c r="Q6" s="301">
        <f t="shared" si="0"/>
        <v>0</v>
      </c>
      <c r="R6" s="301">
        <f t="shared" si="0"/>
        <v>800</v>
      </c>
      <c r="S6" s="301">
        <f t="shared" si="0"/>
        <v>800</v>
      </c>
      <c r="T6" s="301">
        <f t="shared" si="0"/>
        <v>1741605.74</v>
      </c>
      <c r="U6" s="301">
        <f t="shared" si="0"/>
        <v>0</v>
      </c>
      <c r="V6" s="301">
        <f t="shared" si="0"/>
        <v>0</v>
      </c>
      <c r="W6" s="301">
        <f t="shared" si="0"/>
        <v>0</v>
      </c>
      <c r="X6" s="301">
        <f t="shared" si="0"/>
        <v>-699.99</v>
      </c>
      <c r="Y6" s="301">
        <f t="shared" si="0"/>
        <v>-699.99</v>
      </c>
      <c r="Z6" s="301">
        <f t="shared" si="0"/>
        <v>154261.74</v>
      </c>
      <c r="AA6" s="301">
        <f t="shared" si="0"/>
        <v>131083.1</v>
      </c>
      <c r="AB6" s="301">
        <f t="shared" si="0"/>
        <v>126995.41</v>
      </c>
      <c r="AC6" s="301">
        <f t="shared" si="0"/>
        <v>1329965.48</v>
      </c>
      <c r="AE6" s="302"/>
    </row>
    <row r="7" ht="20.25" customHeight="1" spans="1:31">
      <c r="A7" s="303">
        <v>45658</v>
      </c>
      <c r="B7" s="294" t="s">
        <v>37</v>
      </c>
      <c r="C7" s="295">
        <v>0</v>
      </c>
      <c r="D7" s="295">
        <v>0</v>
      </c>
      <c r="E7" s="295">
        <v>0</v>
      </c>
      <c r="F7" s="295">
        <v>0</v>
      </c>
      <c r="G7" s="295">
        <v>0</v>
      </c>
      <c r="H7" s="295">
        <v>0</v>
      </c>
      <c r="I7" s="295">
        <v>0</v>
      </c>
      <c r="J7" s="295">
        <v>0</v>
      </c>
      <c r="K7" s="295">
        <v>0</v>
      </c>
      <c r="L7" s="295">
        <v>0</v>
      </c>
      <c r="M7" s="295">
        <v>0</v>
      </c>
      <c r="N7" s="295">
        <v>0</v>
      </c>
      <c r="O7" s="295">
        <v>0</v>
      </c>
      <c r="P7" s="295">
        <v>0</v>
      </c>
      <c r="Q7" s="295">
        <v>0</v>
      </c>
      <c r="R7" s="295">
        <v>0</v>
      </c>
      <c r="S7" s="295">
        <v>0</v>
      </c>
      <c r="T7" s="295">
        <v>0</v>
      </c>
      <c r="U7" s="304"/>
      <c r="V7" s="296"/>
      <c r="W7" s="296"/>
      <c r="X7" s="296"/>
      <c r="Y7" s="296"/>
      <c r="Z7" s="296"/>
      <c r="AA7" s="296"/>
      <c r="AB7" s="296"/>
      <c r="AC7" s="296"/>
      <c r="AE7" s="297"/>
    </row>
    <row r="8" ht="20.25" customHeight="1" spans="1:31">
      <c r="A8" s="303"/>
      <c r="B8" s="294" t="s">
        <v>35</v>
      </c>
      <c r="C8" s="295">
        <v>0</v>
      </c>
      <c r="D8" s="295">
        <v>0</v>
      </c>
      <c r="E8" s="295">
        <v>0</v>
      </c>
      <c r="F8" s="295">
        <v>0</v>
      </c>
      <c r="G8" s="295">
        <v>0</v>
      </c>
      <c r="H8" s="295">
        <v>0</v>
      </c>
      <c r="I8" s="295">
        <v>0</v>
      </c>
      <c r="J8" s="295">
        <v>0</v>
      </c>
      <c r="K8" s="295">
        <v>0</v>
      </c>
      <c r="L8" s="295">
        <v>0</v>
      </c>
      <c r="M8" s="295">
        <v>0</v>
      </c>
      <c r="N8" s="295">
        <v>0</v>
      </c>
      <c r="O8" s="295">
        <v>0</v>
      </c>
      <c r="P8" s="295">
        <v>0</v>
      </c>
      <c r="Q8" s="295">
        <v>0</v>
      </c>
      <c r="R8" s="295">
        <v>0</v>
      </c>
      <c r="S8" s="295">
        <v>0</v>
      </c>
      <c r="T8" s="295">
        <v>0</v>
      </c>
      <c r="U8" s="304"/>
      <c r="V8" s="296"/>
      <c r="W8" s="296"/>
      <c r="X8" s="296"/>
      <c r="Y8" s="296"/>
      <c r="Z8" s="296"/>
      <c r="AA8" s="296"/>
      <c r="AB8" s="296"/>
      <c r="AC8" s="296"/>
      <c r="AE8" s="297"/>
    </row>
    <row r="9" ht="20.25" customHeight="1" spans="1:31">
      <c r="A9" s="303"/>
      <c r="B9" s="294" t="s">
        <v>32</v>
      </c>
      <c r="C9" s="295">
        <v>0</v>
      </c>
      <c r="D9" s="295">
        <v>0</v>
      </c>
      <c r="E9" s="295">
        <v>0</v>
      </c>
      <c r="F9" s="295">
        <v>0</v>
      </c>
      <c r="G9" s="295">
        <v>0</v>
      </c>
      <c r="H9" s="295">
        <v>0</v>
      </c>
      <c r="I9" s="295">
        <v>0</v>
      </c>
      <c r="J9" s="295">
        <v>0</v>
      </c>
      <c r="K9" s="295">
        <v>0</v>
      </c>
      <c r="L9" s="295">
        <v>0</v>
      </c>
      <c r="M9" s="295">
        <v>0</v>
      </c>
      <c r="N9" s="295">
        <v>0</v>
      </c>
      <c r="O9" s="295">
        <v>0</v>
      </c>
      <c r="P9" s="295">
        <v>0</v>
      </c>
      <c r="Q9" s="295">
        <v>0</v>
      </c>
      <c r="R9" s="295">
        <v>0</v>
      </c>
      <c r="S9" s="295">
        <v>0</v>
      </c>
      <c r="T9" s="295">
        <v>0</v>
      </c>
      <c r="U9" s="304"/>
      <c r="V9" s="296"/>
      <c r="W9" s="296"/>
      <c r="X9" s="296"/>
      <c r="Y9" s="296"/>
      <c r="Z9" s="296"/>
      <c r="AA9" s="296"/>
      <c r="AB9" s="296"/>
      <c r="AC9" s="296"/>
      <c r="AE9" s="297"/>
    </row>
    <row r="10" ht="20.25" customHeight="1" spans="1:31">
      <c r="A10" s="305"/>
      <c r="B10" s="299" t="s">
        <v>48</v>
      </c>
      <c r="C10" s="300">
        <f t="shared" ref="C10:AC10" si="1">SUM(C7:C9)</f>
        <v>0</v>
      </c>
      <c r="D10" s="301">
        <f t="shared" si="1"/>
        <v>0</v>
      </c>
      <c r="E10" s="301">
        <f t="shared" si="1"/>
        <v>0</v>
      </c>
      <c r="F10" s="301">
        <f t="shared" si="1"/>
        <v>0</v>
      </c>
      <c r="G10" s="301">
        <f t="shared" si="1"/>
        <v>0</v>
      </c>
      <c r="H10" s="301">
        <f t="shared" si="1"/>
        <v>0</v>
      </c>
      <c r="I10" s="301">
        <f t="shared" si="1"/>
        <v>0</v>
      </c>
      <c r="J10" s="301">
        <f t="shared" si="1"/>
        <v>0</v>
      </c>
      <c r="K10" s="301">
        <f t="shared" si="1"/>
        <v>0</v>
      </c>
      <c r="L10" s="301">
        <f t="shared" si="1"/>
        <v>0</v>
      </c>
      <c r="M10" s="301">
        <f t="shared" si="1"/>
        <v>0</v>
      </c>
      <c r="N10" s="301">
        <f t="shared" si="1"/>
        <v>0</v>
      </c>
      <c r="O10" s="301">
        <f t="shared" si="1"/>
        <v>0</v>
      </c>
      <c r="P10" s="301">
        <f t="shared" si="1"/>
        <v>0</v>
      </c>
      <c r="Q10" s="301">
        <f t="shared" si="1"/>
        <v>0</v>
      </c>
      <c r="R10" s="301">
        <f t="shared" si="1"/>
        <v>0</v>
      </c>
      <c r="S10" s="301">
        <f t="shared" si="1"/>
        <v>0</v>
      </c>
      <c r="T10" s="301">
        <f t="shared" si="1"/>
        <v>0</v>
      </c>
      <c r="U10" s="301">
        <f t="shared" si="1"/>
        <v>0</v>
      </c>
      <c r="V10" s="301">
        <f t="shared" si="1"/>
        <v>0</v>
      </c>
      <c r="W10" s="301">
        <f t="shared" si="1"/>
        <v>0</v>
      </c>
      <c r="X10" s="301">
        <f t="shared" si="1"/>
        <v>0</v>
      </c>
      <c r="Y10" s="301">
        <f t="shared" si="1"/>
        <v>0</v>
      </c>
      <c r="Z10" s="301">
        <f t="shared" si="1"/>
        <v>0</v>
      </c>
      <c r="AA10" s="301">
        <f t="shared" si="1"/>
        <v>0</v>
      </c>
      <c r="AB10" s="301">
        <f t="shared" si="1"/>
        <v>0</v>
      </c>
      <c r="AC10" s="301">
        <f t="shared" si="1"/>
        <v>0</v>
      </c>
      <c r="AE10" s="297"/>
    </row>
    <row r="11" ht="20.25" customHeight="1" spans="1:31">
      <c r="A11" s="298" t="s">
        <v>49</v>
      </c>
      <c r="B11" s="294" t="s">
        <v>37</v>
      </c>
      <c r="C11" s="295">
        <f t="shared" ref="C11:AC11" si="2">C3-C7</f>
        <v>9</v>
      </c>
      <c r="D11" s="296">
        <f t="shared" si="2"/>
        <v>281000</v>
      </c>
      <c r="E11" s="296">
        <f t="shared" si="2"/>
        <v>0</v>
      </c>
      <c r="F11" s="296">
        <f t="shared" si="2"/>
        <v>0</v>
      </c>
      <c r="G11" s="296">
        <f t="shared" si="2"/>
        <v>0</v>
      </c>
      <c r="H11" s="296">
        <f t="shared" si="2"/>
        <v>0</v>
      </c>
      <c r="I11" s="296">
        <f t="shared" si="2"/>
        <v>0</v>
      </c>
      <c r="J11" s="296">
        <f t="shared" si="2"/>
        <v>0</v>
      </c>
      <c r="K11" s="296">
        <f t="shared" si="2"/>
        <v>0</v>
      </c>
      <c r="L11" s="296">
        <f t="shared" si="2"/>
        <v>0</v>
      </c>
      <c r="M11" s="296">
        <f t="shared" si="2"/>
        <v>0</v>
      </c>
      <c r="N11" s="296">
        <f t="shared" si="2"/>
        <v>0</v>
      </c>
      <c r="O11" s="296">
        <f t="shared" si="2"/>
        <v>0</v>
      </c>
      <c r="P11" s="296">
        <f t="shared" si="2"/>
        <v>0</v>
      </c>
      <c r="Q11" s="296">
        <f t="shared" si="2"/>
        <v>0</v>
      </c>
      <c r="R11" s="296">
        <f t="shared" si="2"/>
        <v>0</v>
      </c>
      <c r="S11" s="296">
        <f t="shared" si="2"/>
        <v>0</v>
      </c>
      <c r="T11" s="296">
        <f t="shared" si="2"/>
        <v>281000</v>
      </c>
      <c r="U11" s="296">
        <f t="shared" si="2"/>
        <v>0</v>
      </c>
      <c r="V11" s="296">
        <f t="shared" si="2"/>
        <v>0</v>
      </c>
      <c r="W11" s="296">
        <f t="shared" si="2"/>
        <v>0</v>
      </c>
      <c r="X11" s="296">
        <f t="shared" si="2"/>
        <v>-140.24</v>
      </c>
      <c r="Y11" s="296">
        <f t="shared" si="2"/>
        <v>-140.24</v>
      </c>
      <c r="Z11" s="296">
        <f t="shared" si="2"/>
        <v>17986.2</v>
      </c>
      <c r="AA11" s="296">
        <f t="shared" si="2"/>
        <v>21739.5</v>
      </c>
      <c r="AB11" s="296">
        <f t="shared" si="2"/>
        <v>34577.71</v>
      </c>
      <c r="AC11" s="296">
        <f t="shared" si="2"/>
        <v>206836.83</v>
      </c>
      <c r="AE11" s="297"/>
    </row>
    <row r="12" ht="20.25" customHeight="1" spans="1:31">
      <c r="A12" s="298"/>
      <c r="B12" s="294" t="s">
        <v>35</v>
      </c>
      <c r="C12" s="295">
        <f t="shared" ref="C12:AC12" si="3">C4-C8</f>
        <v>55</v>
      </c>
      <c r="D12" s="296">
        <f t="shared" si="3"/>
        <v>1263300</v>
      </c>
      <c r="E12" s="296">
        <f t="shared" si="3"/>
        <v>0</v>
      </c>
      <c r="F12" s="296">
        <f t="shared" si="3"/>
        <v>0</v>
      </c>
      <c r="G12" s="296">
        <f t="shared" si="3"/>
        <v>0</v>
      </c>
      <c r="H12" s="296">
        <f t="shared" si="3"/>
        <v>0</v>
      </c>
      <c r="I12" s="296">
        <f t="shared" si="3"/>
        <v>43287.36</v>
      </c>
      <c r="J12" s="296">
        <f t="shared" si="3"/>
        <v>0</v>
      </c>
      <c r="K12" s="296">
        <f t="shared" si="3"/>
        <v>0</v>
      </c>
      <c r="L12" s="296">
        <f t="shared" si="3"/>
        <v>0</v>
      </c>
      <c r="M12" s="296">
        <f t="shared" si="3"/>
        <v>0</v>
      </c>
      <c r="N12" s="296">
        <f t="shared" si="3"/>
        <v>0</v>
      </c>
      <c r="O12" s="296">
        <f t="shared" si="3"/>
        <v>0</v>
      </c>
      <c r="P12" s="296">
        <f t="shared" si="3"/>
        <v>0</v>
      </c>
      <c r="Q12" s="296">
        <f t="shared" si="3"/>
        <v>0</v>
      </c>
      <c r="R12" s="296">
        <f t="shared" si="3"/>
        <v>800</v>
      </c>
      <c r="S12" s="296">
        <f t="shared" si="3"/>
        <v>800</v>
      </c>
      <c r="T12" s="296">
        <f t="shared" si="3"/>
        <v>1220812.64</v>
      </c>
      <c r="U12" s="296">
        <f t="shared" si="3"/>
        <v>0</v>
      </c>
      <c r="V12" s="296">
        <f t="shared" si="3"/>
        <v>0</v>
      </c>
      <c r="W12" s="296">
        <f t="shared" si="3"/>
        <v>0</v>
      </c>
      <c r="X12" s="296">
        <f t="shared" si="3"/>
        <v>1280.25</v>
      </c>
      <c r="Y12" s="296">
        <f t="shared" si="3"/>
        <v>1280.25</v>
      </c>
      <c r="Z12" s="296">
        <f t="shared" si="3"/>
        <v>112871.7</v>
      </c>
      <c r="AA12" s="296">
        <f t="shared" si="3"/>
        <v>88863.6</v>
      </c>
      <c r="AB12" s="296">
        <f t="shared" si="3"/>
        <v>85237.98</v>
      </c>
      <c r="AC12" s="296">
        <f t="shared" si="3"/>
        <v>932559.11</v>
      </c>
      <c r="AE12" s="297"/>
    </row>
    <row r="13" ht="20.25" customHeight="1" spans="1:31">
      <c r="A13" s="298"/>
      <c r="B13" s="294" t="s">
        <v>32</v>
      </c>
      <c r="C13" s="295">
        <f t="shared" ref="C13:AC13" si="4">C5-C9</f>
        <v>14</v>
      </c>
      <c r="D13" s="296">
        <f t="shared" si="4"/>
        <v>246000</v>
      </c>
      <c r="E13" s="296">
        <f t="shared" si="4"/>
        <v>0</v>
      </c>
      <c r="F13" s="296">
        <f t="shared" si="4"/>
        <v>0</v>
      </c>
      <c r="G13" s="296">
        <f t="shared" si="4"/>
        <v>0</v>
      </c>
      <c r="H13" s="296">
        <f t="shared" si="4"/>
        <v>0</v>
      </c>
      <c r="I13" s="296">
        <f t="shared" si="4"/>
        <v>6206.9</v>
      </c>
      <c r="J13" s="296">
        <f t="shared" si="4"/>
        <v>0</v>
      </c>
      <c r="K13" s="296">
        <f t="shared" si="4"/>
        <v>0</v>
      </c>
      <c r="L13" s="296">
        <f t="shared" si="4"/>
        <v>0</v>
      </c>
      <c r="M13" s="296">
        <f t="shared" si="4"/>
        <v>0</v>
      </c>
      <c r="N13" s="296">
        <f t="shared" si="4"/>
        <v>0</v>
      </c>
      <c r="O13" s="296">
        <f t="shared" si="4"/>
        <v>0</v>
      </c>
      <c r="P13" s="296">
        <f t="shared" si="4"/>
        <v>0</v>
      </c>
      <c r="Q13" s="296">
        <f t="shared" si="4"/>
        <v>0</v>
      </c>
      <c r="R13" s="296">
        <f t="shared" si="4"/>
        <v>0</v>
      </c>
      <c r="S13" s="296">
        <f t="shared" si="4"/>
        <v>0</v>
      </c>
      <c r="T13" s="296">
        <f t="shared" si="4"/>
        <v>239793.1</v>
      </c>
      <c r="U13" s="296">
        <f t="shared" si="4"/>
        <v>0</v>
      </c>
      <c r="V13" s="296">
        <f t="shared" si="4"/>
        <v>0</v>
      </c>
      <c r="W13" s="296">
        <f t="shared" si="4"/>
        <v>0</v>
      </c>
      <c r="X13" s="296">
        <f t="shared" si="4"/>
        <v>-1840</v>
      </c>
      <c r="Y13" s="296">
        <f t="shared" si="4"/>
        <v>-1840</v>
      </c>
      <c r="Z13" s="296">
        <f t="shared" si="4"/>
        <v>23403.84</v>
      </c>
      <c r="AA13" s="296">
        <f t="shared" si="4"/>
        <v>20480</v>
      </c>
      <c r="AB13" s="296">
        <f t="shared" si="4"/>
        <v>7179.72</v>
      </c>
      <c r="AC13" s="296">
        <f t="shared" si="4"/>
        <v>190569.54</v>
      </c>
      <c r="AE13" s="297"/>
    </row>
    <row r="14" ht="20.25" customHeight="1" spans="1:31">
      <c r="A14" s="298"/>
      <c r="B14" s="299" t="s">
        <v>48</v>
      </c>
      <c r="C14" s="300">
        <f t="shared" ref="C14:AC14" si="5">SUM(C11:C13)</f>
        <v>78</v>
      </c>
      <c r="D14" s="301">
        <f t="shared" si="5"/>
        <v>1790300</v>
      </c>
      <c r="E14" s="301">
        <f t="shared" si="5"/>
        <v>0</v>
      </c>
      <c r="F14" s="301">
        <f t="shared" si="5"/>
        <v>0</v>
      </c>
      <c r="G14" s="301">
        <f t="shared" si="5"/>
        <v>0</v>
      </c>
      <c r="H14" s="301">
        <f t="shared" si="5"/>
        <v>0</v>
      </c>
      <c r="I14" s="301">
        <f t="shared" si="5"/>
        <v>49494.26</v>
      </c>
      <c r="J14" s="301">
        <f t="shared" si="5"/>
        <v>0</v>
      </c>
      <c r="K14" s="301">
        <f t="shared" si="5"/>
        <v>0</v>
      </c>
      <c r="L14" s="301">
        <f t="shared" si="5"/>
        <v>0</v>
      </c>
      <c r="M14" s="301">
        <f t="shared" si="5"/>
        <v>0</v>
      </c>
      <c r="N14" s="301">
        <f t="shared" si="5"/>
        <v>0</v>
      </c>
      <c r="O14" s="301">
        <f t="shared" si="5"/>
        <v>0</v>
      </c>
      <c r="P14" s="301">
        <f t="shared" si="5"/>
        <v>0</v>
      </c>
      <c r="Q14" s="301">
        <f t="shared" si="5"/>
        <v>0</v>
      </c>
      <c r="R14" s="301">
        <f t="shared" si="5"/>
        <v>800</v>
      </c>
      <c r="S14" s="301">
        <f t="shared" si="5"/>
        <v>800</v>
      </c>
      <c r="T14" s="301">
        <f t="shared" si="5"/>
        <v>1741605.74</v>
      </c>
      <c r="U14" s="301">
        <f t="shared" si="5"/>
        <v>0</v>
      </c>
      <c r="V14" s="301">
        <f t="shared" si="5"/>
        <v>0</v>
      </c>
      <c r="W14" s="301">
        <f t="shared" si="5"/>
        <v>0</v>
      </c>
      <c r="X14" s="301">
        <f t="shared" si="5"/>
        <v>-699.99</v>
      </c>
      <c r="Y14" s="301">
        <f t="shared" si="5"/>
        <v>-699.99</v>
      </c>
      <c r="Z14" s="301">
        <f t="shared" si="5"/>
        <v>154261.74</v>
      </c>
      <c r="AA14" s="301">
        <f t="shared" si="5"/>
        <v>131083.1</v>
      </c>
      <c r="AB14" s="301">
        <f t="shared" si="5"/>
        <v>126995.41</v>
      </c>
      <c r="AC14" s="301">
        <f t="shared" si="5"/>
        <v>1329965.48</v>
      </c>
      <c r="AE14" s="297"/>
    </row>
    <row r="15" spans="1:31">
      <c r="D15" s="306"/>
      <c r="E15" s="306"/>
      <c r="F15" s="306"/>
      <c r="G15" s="306"/>
      <c r="H15" s="306"/>
      <c r="I15" s="306"/>
      <c r="J15" s="306"/>
      <c r="K15" s="306"/>
      <c r="L15" s="306"/>
      <c r="M15" s="306"/>
      <c r="N15" s="306"/>
      <c r="O15" s="306"/>
      <c r="P15" s="306"/>
      <c r="Q15" s="306"/>
      <c r="R15" s="306"/>
      <c r="S15" s="306"/>
      <c r="T15" s="306"/>
      <c r="U15" s="306"/>
      <c r="V15" s="306"/>
      <c r="W15" s="306"/>
      <c r="X15" s="306"/>
      <c r="Y15" s="306"/>
      <c r="Z15" s="306"/>
      <c r="AA15" s="306"/>
      <c r="AB15" s="306"/>
      <c r="AC15" s="306"/>
    </row>
    <row r="16" s="3" customFormat="1" spans="1:31">
      <c r="AD16" s="6"/>
      <c r="AE16" s="6"/>
    </row>
    <row r="17" spans="4:9">
      <c r="D17" s="307"/>
      <c r="I17" s="203"/>
    </row>
    <row r="18" spans="4:9">
      <c r="D18" s="307"/>
      <c r="I18" s="203"/>
    </row>
    <row r="19" spans="4:9">
      <c r="D19" s="307"/>
    </row>
  </sheetData>
  <sheetProtection selectLockedCells="1" selectUnlockedCells="1"/>
  <mergeCells count="4">
    <mergeCell ref="A1:AC1"/>
    <mergeCell ref="A3:A6"/>
    <mergeCell ref="A7:A10"/>
    <mergeCell ref="A11:A14"/>
  </mergeCells>
  <pageMargins left="0.707638888888889" right="0.707638888888889" top="0.747916666666667" bottom="0.747916666666667" header="0.313888888888889" footer="0.313888888888889"/>
  <pageSetup paperSize="9" scale="44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theme="4" tint="-0.499984740745262"/>
  </sheetPr>
  <dimension ref="A1:AE59"/>
  <sheetViews>
    <sheetView showGridLines="0" workbookViewId="0">
      <pane xSplit="2" ySplit="2" topLeftCell="C3" activePane="bottomRight" state="frozen"/>
      <selection/>
      <selection pane="topRight"/>
      <selection pane="bottomLeft"/>
      <selection pane="bottomRight" activeCell="A27" sqref="$A27:$XFD27"/>
    </sheetView>
  </sheetViews>
  <sheetFormatPr defaultColWidth="9.14285714285714" defaultRowHeight="12.75"/>
  <cols>
    <col min="1" max="1" width="17.4285714285714" style="269" customWidth="1"/>
    <col min="2" max="2" width="14" style="270" customWidth="1"/>
    <col min="3" max="3" width="7.42857142857143" style="270" customWidth="1"/>
    <col min="4" max="4" width="16.5714285714286" style="271" customWidth="1"/>
    <col min="5" max="5" width="13" style="271" customWidth="1"/>
    <col min="6" max="6" width="12.4285714285714" style="271" customWidth="1"/>
    <col min="7" max="9" width="13.4285714285714" style="271" customWidth="1"/>
    <col min="10" max="10" width="12.4285714285714" style="271" customWidth="1"/>
    <col min="11" max="11" width="13.4285714285714" style="271" customWidth="1"/>
    <col min="12" max="12" width="15.2857142857143" style="271" hidden="1" customWidth="1"/>
    <col min="13" max="13" width="15.2857142857143" style="271" customWidth="1"/>
    <col min="14" max="14" width="15.2857142857143" style="271" hidden="1" customWidth="1"/>
    <col min="15" max="15" width="12.1428571428571" style="271" hidden="1" customWidth="1"/>
    <col min="16" max="16" width="10.8571428571429" style="271" hidden="1" customWidth="1"/>
    <col min="17" max="18" width="12.1428571428571" style="271" customWidth="1"/>
    <col min="19" max="19" width="15.2857142857143" style="271" hidden="1" customWidth="1"/>
    <col min="20" max="20" width="16.5714285714286" style="271" customWidth="1"/>
    <col min="21" max="21" width="14.2857142857143" style="271" customWidth="1"/>
    <col min="22" max="23" width="12.1428571428571" style="271" hidden="1" customWidth="1"/>
    <col min="24" max="24" width="12.2857142857143" style="271" customWidth="1"/>
    <col min="25" max="25" width="12.1428571428571" style="271" hidden="1" customWidth="1"/>
    <col min="26" max="29" width="14.7142857142857" style="271" customWidth="1"/>
    <col min="30" max="30" width="16.8571428571429" style="271" customWidth="1"/>
    <col min="31" max="31" width="16.1428571428571" style="271" customWidth="1"/>
    <col min="32" max="16384" width="9.14285714285714" style="271"/>
  </cols>
  <sheetData>
    <row r="1" ht="51" customHeight="1" spans="1:31">
      <c r="A1" s="272" t="s">
        <v>52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</row>
    <row r="2" ht="35.1" customHeight="1" spans="1:31">
      <c r="A2" s="273" t="s">
        <v>53</v>
      </c>
      <c r="B2" s="274" t="s">
        <v>54</v>
      </c>
      <c r="C2" s="275" t="s">
        <v>3</v>
      </c>
      <c r="D2" s="276" t="s">
        <v>4</v>
      </c>
      <c r="E2" s="276" t="s">
        <v>5</v>
      </c>
      <c r="F2" s="276" t="s">
        <v>6</v>
      </c>
      <c r="G2" s="276" t="s">
        <v>55</v>
      </c>
      <c r="H2" s="276" t="s">
        <v>8</v>
      </c>
      <c r="I2" s="276" t="s">
        <v>9</v>
      </c>
      <c r="J2" s="276" t="s">
        <v>10</v>
      </c>
      <c r="K2" s="276" t="s">
        <v>11</v>
      </c>
      <c r="L2" s="276" t="s">
        <v>12</v>
      </c>
      <c r="M2" s="276" t="s">
        <v>13</v>
      </c>
      <c r="N2" s="276" t="s">
        <v>14</v>
      </c>
      <c r="O2" s="276" t="s">
        <v>15</v>
      </c>
      <c r="P2" s="276" t="s">
        <v>16</v>
      </c>
      <c r="Q2" s="276" t="s">
        <v>17</v>
      </c>
      <c r="R2" s="276" t="s">
        <v>18</v>
      </c>
      <c r="S2" s="276" t="s">
        <v>19</v>
      </c>
      <c r="T2" s="276" t="s">
        <v>20</v>
      </c>
      <c r="U2" s="276" t="s">
        <v>21</v>
      </c>
      <c r="V2" s="276" t="s">
        <v>22</v>
      </c>
      <c r="W2" s="276" t="s">
        <v>23</v>
      </c>
      <c r="X2" s="276" t="s">
        <v>56</v>
      </c>
      <c r="Y2" s="276" t="s">
        <v>25</v>
      </c>
      <c r="Z2" s="276" t="s">
        <v>26</v>
      </c>
      <c r="AA2" s="276" t="s">
        <v>27</v>
      </c>
      <c r="AB2" s="276" t="s">
        <v>28</v>
      </c>
      <c r="AC2" s="276" t="s">
        <v>29</v>
      </c>
      <c r="AD2" s="276" t="s">
        <v>30</v>
      </c>
      <c r="AE2" s="277" t="s">
        <v>31</v>
      </c>
    </row>
    <row r="3" ht="29.1" customHeight="1" spans="1:31">
      <c r="A3" s="273" t="s">
        <v>38</v>
      </c>
      <c r="B3" s="278" t="s">
        <v>38</v>
      </c>
      <c r="C3" s="279">
        <f>SUMIF(工资表明细!$M$3:$M$85,$B3,工资表明细!$L$3:$L$85)</f>
        <v>9</v>
      </c>
      <c r="D3" s="280">
        <f>SUMIF(工资表明细!$M$3:$M$82,$B3,工资表明细!P$3:P$82)</f>
        <v>281000</v>
      </c>
      <c r="E3" s="280">
        <f>SUMIF(工资表明细!$M$3:$M$82,$B3,工资表明细!Q$3:Q$82)</f>
        <v>0</v>
      </c>
      <c r="F3" s="280">
        <f>SUMIF(工资表明细!$M$3:$M$82,$B3,工资表明细!R$3:R$82)</f>
        <v>0</v>
      </c>
      <c r="G3" s="280">
        <f>SUMIF(工资表明细!$M$3:$M$82,$B3,工资表明细!S$3:S$82)</f>
        <v>0</v>
      </c>
      <c r="H3" s="280">
        <f>SUMIF(工资表明细!$M$3:$M$82,$B3,工资表明细!T$3:T$82)</f>
        <v>0</v>
      </c>
      <c r="I3" s="280">
        <f>SUMIF(工资表明细!$M$3:$M$82,$B3,工资表明细!U$3:U$82)</f>
        <v>0</v>
      </c>
      <c r="J3" s="280">
        <f>SUMIF(工资表明细!$M$3:$M$82,$B3,工资表明细!V$3:V$82)</f>
        <v>0</v>
      </c>
      <c r="K3" s="280">
        <f>SUMIF(工资表明细!$M$3:$M$82,$B3,工资表明细!W$3:W$82)</f>
        <v>0</v>
      </c>
      <c r="L3" s="280">
        <f>SUMIF(工资表明细!$M$3:$M$82,$B3,工资表明细!X$3:X$82)</f>
        <v>0</v>
      </c>
      <c r="M3" s="280">
        <f>SUMIF(工资表明细!$M$3:$M$82,$B3,工资表明细!Y$3:Y$82)</f>
        <v>0</v>
      </c>
      <c r="N3" s="280">
        <f>SUMIF(工资表明细!$M$3:$M$82,$B3,工资表明细!Z$3:Z$82)</f>
        <v>0</v>
      </c>
      <c r="O3" s="280">
        <f>SUMIF(工资表明细!$M$3:$M$82,$B3,工资表明细!AA$3:AA$82)</f>
        <v>0</v>
      </c>
      <c r="P3" s="280">
        <f>SUMIF(工资表明细!$M$3:$M$82,$B3,工资表明细!AB$3:AB$82)</f>
        <v>0</v>
      </c>
      <c r="Q3" s="280">
        <f>SUMIF(工资表明细!$M$3:$M$82,$B3,工资表明细!AC$3:AC$82)</f>
        <v>0</v>
      </c>
      <c r="R3" s="280">
        <f>SUMIF(工资表明细!$M$3:$M$82,$B3,工资表明细!AD$3:AD$82)</f>
        <v>0</v>
      </c>
      <c r="S3" s="280">
        <f>SUMIF(工资表明细!$M$3:$M$82,$B3,工资表明细!AE$3:AE$82)</f>
        <v>0</v>
      </c>
      <c r="T3" s="280">
        <f>SUMIF(工资表明细!$M$3:$M$82,$B3,工资表明细!AF$3:AF$82)</f>
        <v>281000</v>
      </c>
      <c r="U3" s="280">
        <f>SUMIF(工资表明细!$M$3:$M$82,$B3,工资表明细!AG$3:AG$82)</f>
        <v>0</v>
      </c>
      <c r="V3" s="280">
        <f>SUMIF(工资表明细!$M$3:$M$82,$B3,工资表明细!AH$3:AH$82)</f>
        <v>0</v>
      </c>
      <c r="W3" s="280">
        <f>SUMIF(工资表明细!$M$3:$M$82,$B3,工资表明细!AI$3:AI$82)</f>
        <v>0</v>
      </c>
      <c r="X3" s="280">
        <f>SUMIF(工资表明细!$M$3:$M$82,$B3,工资表明细!AJ$3:AJ$82)</f>
        <v>-140.24</v>
      </c>
      <c r="Y3" s="280">
        <f>SUMIF(工资表明细!$M$3:$M$82,$B3,工资表明细!AK$3:AK$82)</f>
        <v>-140.24</v>
      </c>
      <c r="Z3" s="280">
        <f>SUMIF(工资表明细!$M$3:$M$82,$B3,工资表明细!AL$3:AL$82)</f>
        <v>13615.68</v>
      </c>
      <c r="AA3" s="280">
        <f>SUMIF(工资表明细!$M$3:$M$82,$B3,工资表明细!AM$3:AM$82)</f>
        <v>3890.64</v>
      </c>
      <c r="AB3" s="280">
        <f>SUMIF(工资表明细!$M$3:$M$82,$B3,工资表明细!AN$3:AN$82)</f>
        <v>479.88</v>
      </c>
      <c r="AC3" s="280">
        <f>SUMIF(工资表明细!$M$3:$M$82,$B3,工资表明细!AO$3:AO$82)</f>
        <v>21739.5</v>
      </c>
      <c r="AD3" s="280">
        <f>SUMIF(工资表明细!$M$3:$M$82,$B3,工资表明细!BE$3:BE$82)</f>
        <v>34577.71</v>
      </c>
      <c r="AE3" s="280">
        <f>SUMIF(工资表明细!$M$3:$M$82,$B3,工资表明细!BF$3:BF$82)</f>
        <v>206836.83</v>
      </c>
    </row>
    <row r="4" ht="29.1" customHeight="1" spans="1:31">
      <c r="A4" s="273" t="s">
        <v>36</v>
      </c>
      <c r="B4" s="278" t="s">
        <v>36</v>
      </c>
      <c r="C4" s="279">
        <f>SUMIF(工资表明细!$M$3:$M$85,$B4,工资表明细!$L$3:$L$85)</f>
        <v>55</v>
      </c>
      <c r="D4" s="280">
        <f>SUMIF(工资表明细!$M$3:$M$82,$B4,工资表明细!P$3:P$82)</f>
        <v>1263300</v>
      </c>
      <c r="E4" s="280">
        <f>SUMIF(工资表明细!$M$3:$M$82,$B4,工资表明细!Q$3:Q$82)</f>
        <v>0</v>
      </c>
      <c r="F4" s="280">
        <f>SUMIF(工资表明细!$M$3:$M$82,$B4,工资表明细!R$3:R$82)</f>
        <v>0</v>
      </c>
      <c r="G4" s="280">
        <f>SUMIF(工资表明细!$M$3:$M$82,$B4,工资表明细!S$3:S$82)</f>
        <v>0</v>
      </c>
      <c r="H4" s="280">
        <f>SUMIF(工资表明细!$M$3:$M$82,$B4,工资表明细!T$3:T$82)</f>
        <v>0</v>
      </c>
      <c r="I4" s="280">
        <f>SUMIF(工资表明细!$M$3:$M$82,$B4,工资表明细!U$3:U$82)</f>
        <v>43287.36</v>
      </c>
      <c r="J4" s="280">
        <f>SUMIF(工资表明细!$M$3:$M$82,$B4,工资表明细!V$3:V$82)</f>
        <v>0</v>
      </c>
      <c r="K4" s="280">
        <f>SUMIF(工资表明细!$M$3:$M$82,$B4,工资表明细!W$3:W$82)</f>
        <v>0</v>
      </c>
      <c r="L4" s="280">
        <f>SUMIF(工资表明细!$M$3:$M$82,$B4,工资表明细!X$3:X$82)</f>
        <v>0</v>
      </c>
      <c r="M4" s="280">
        <f>SUMIF(工资表明细!$M$3:$M$82,$B4,工资表明细!Y$3:Y$82)</f>
        <v>0</v>
      </c>
      <c r="N4" s="280">
        <f>SUMIF(工资表明细!$M$3:$M$82,$B4,工资表明细!Z$3:Z$82)</f>
        <v>0</v>
      </c>
      <c r="O4" s="280">
        <f>SUMIF(工资表明细!$M$3:$M$82,$B4,工资表明细!AA$3:AA$82)</f>
        <v>0</v>
      </c>
      <c r="P4" s="280">
        <f>SUMIF(工资表明细!$M$3:$M$82,$B4,工资表明细!AB$3:AB$82)</f>
        <v>0</v>
      </c>
      <c r="Q4" s="280">
        <f>SUMIF(工资表明细!$M$3:$M$82,$B4,工资表明细!AC$3:AC$82)</f>
        <v>0</v>
      </c>
      <c r="R4" s="280">
        <f>SUMIF(工资表明细!$M$3:$M$82,$B4,工资表明细!AD$3:AD$82)</f>
        <v>800</v>
      </c>
      <c r="S4" s="280">
        <f>SUMIF(工资表明细!$M$3:$M$82,$B4,工资表明细!AE$3:AE$82)</f>
        <v>800</v>
      </c>
      <c r="T4" s="280">
        <f>SUMIF(工资表明细!$M$3:$M$82,$B4,工资表明细!AF$3:AF$82)</f>
        <v>1220812.64</v>
      </c>
      <c r="U4" s="280">
        <f>SUMIF(工资表明细!$M$3:$M$82,$B4,工资表明细!AG$3:AG$82)</f>
        <v>0</v>
      </c>
      <c r="V4" s="280">
        <f>SUMIF(工资表明细!$M$3:$M$82,$B4,工资表明细!AH$3:AH$82)</f>
        <v>0</v>
      </c>
      <c r="W4" s="280">
        <f>SUMIF(工资表明细!$M$3:$M$82,$B4,工资表明细!AI$3:AI$82)</f>
        <v>0</v>
      </c>
      <c r="X4" s="280">
        <f>SUMIF(工资表明细!$M$3:$M$82,$B4,工资表明细!AJ$3:AJ$82)</f>
        <v>1280.25</v>
      </c>
      <c r="Y4" s="280">
        <f>SUMIF(工资表明细!$M$3:$M$82,$B4,工资表明细!AK$3:AK$82)</f>
        <v>1280.25</v>
      </c>
      <c r="Z4" s="280">
        <f>SUMIF(工资表明细!$M$3:$M$82,$B4,工资表明细!AL$3:AL$82)</f>
        <v>87334.88</v>
      </c>
      <c r="AA4" s="280">
        <f>SUMIF(工资表明细!$M$3:$M$82,$B4,工资表明细!AM$3:AM$82)</f>
        <v>23121.28</v>
      </c>
      <c r="AB4" s="280">
        <f>SUMIF(工资表明细!$M$3:$M$82,$B4,工资表明细!AN$3:AN$82)</f>
        <v>2415.54</v>
      </c>
      <c r="AC4" s="280">
        <f>SUMIF(工资表明细!$M$3:$M$82,$B4,工资表明细!AO$3:AO$82)</f>
        <v>88863.6</v>
      </c>
      <c r="AD4" s="280">
        <f>SUMIF(工资表明细!$M$3:$M$82,$B4,工资表明细!BE$3:BE$82)</f>
        <v>85237.98</v>
      </c>
      <c r="AE4" s="280">
        <f>SUMIF(工资表明细!$M$3:$M$82,$B4,工资表明细!BF$3:BF$82)</f>
        <v>932559.11</v>
      </c>
    </row>
    <row r="5" ht="29.1" customHeight="1" spans="1:31">
      <c r="A5" s="273" t="s">
        <v>33</v>
      </c>
      <c r="B5" s="278" t="s">
        <v>33</v>
      </c>
      <c r="C5" s="279">
        <f>SUMIF(工资表明细!$M$3:$M$85,$B5,工资表明细!$L$3:$L$85)</f>
        <v>14</v>
      </c>
      <c r="D5" s="280">
        <f>SUMIF(工资表明细!$M$3:$M$82,$B5,工资表明细!P$3:P$82)</f>
        <v>246000</v>
      </c>
      <c r="E5" s="280">
        <f>SUMIF(工资表明细!$M$3:$M$82,$B5,工资表明细!Q$3:Q$82)</f>
        <v>0</v>
      </c>
      <c r="F5" s="280">
        <f>SUMIF(工资表明细!$M$3:$M$82,$B5,工资表明细!R$3:R$82)</f>
        <v>0</v>
      </c>
      <c r="G5" s="280">
        <f>SUMIF(工资表明细!$M$3:$M$82,$B5,工资表明细!S$3:S$82)</f>
        <v>0</v>
      </c>
      <c r="H5" s="280">
        <f>SUMIF(工资表明细!$M$3:$M$82,$B5,工资表明细!T$3:T$82)</f>
        <v>0</v>
      </c>
      <c r="I5" s="280">
        <f>SUMIF(工资表明细!$M$3:$M$82,$B5,工资表明细!U$3:U$82)</f>
        <v>6206.9</v>
      </c>
      <c r="J5" s="280">
        <f>SUMIF(工资表明细!$M$3:$M$82,$B5,工资表明细!V$3:V$82)</f>
        <v>0</v>
      </c>
      <c r="K5" s="280">
        <f>SUMIF(工资表明细!$M$3:$M$82,$B5,工资表明细!W$3:W$82)</f>
        <v>0</v>
      </c>
      <c r="L5" s="280">
        <f>SUMIF(工资表明细!$M$3:$M$82,$B5,工资表明细!X$3:X$82)</f>
        <v>0</v>
      </c>
      <c r="M5" s="280">
        <f>SUMIF(工资表明细!$M$3:$M$82,$B5,工资表明细!Y$3:Y$82)</f>
        <v>0</v>
      </c>
      <c r="N5" s="280">
        <f>SUMIF(工资表明细!$M$3:$M$82,$B5,工资表明细!Z$3:Z$82)</f>
        <v>0</v>
      </c>
      <c r="O5" s="280">
        <f>SUMIF(工资表明细!$M$3:$M$82,$B5,工资表明细!AA$3:AA$82)</f>
        <v>0</v>
      </c>
      <c r="P5" s="280">
        <f>SUMIF(工资表明细!$M$3:$M$82,$B5,工资表明细!AB$3:AB$82)</f>
        <v>0</v>
      </c>
      <c r="Q5" s="280">
        <f>SUMIF(工资表明细!$M$3:$M$82,$B5,工资表明细!AC$3:AC$82)</f>
        <v>0</v>
      </c>
      <c r="R5" s="280">
        <f>SUMIF(工资表明细!$M$3:$M$82,$B5,工资表明细!AD$3:AD$82)</f>
        <v>0</v>
      </c>
      <c r="S5" s="280">
        <f>SUMIF(工资表明细!$M$3:$M$82,$B5,工资表明细!AE$3:AE$82)</f>
        <v>0</v>
      </c>
      <c r="T5" s="280">
        <f>SUMIF(工资表明细!$M$3:$M$82,$B5,工资表明细!AF$3:AF$82)</f>
        <v>239793.1</v>
      </c>
      <c r="U5" s="280">
        <f>SUMIF(工资表明细!$M$3:$M$82,$B5,工资表明细!AG$3:AG$82)</f>
        <v>0</v>
      </c>
      <c r="V5" s="280">
        <f>SUMIF(工资表明细!$M$3:$M$82,$B5,工资表明细!AH$3:AH$82)</f>
        <v>0</v>
      </c>
      <c r="W5" s="280">
        <f>SUMIF(工资表明细!$M$3:$M$82,$B5,工资表明细!AI$3:AI$82)</f>
        <v>0</v>
      </c>
      <c r="X5" s="280">
        <f>SUMIF(工资表明细!$M$3:$M$82,$B5,工资表明细!AJ$3:AJ$82)</f>
        <v>-1840</v>
      </c>
      <c r="Y5" s="280">
        <f>SUMIF(工资表明细!$M$3:$M$82,$B5,工资表明细!AK$3:AK$82)</f>
        <v>-1840</v>
      </c>
      <c r="Z5" s="280">
        <f>SUMIF(工资表明细!$M$3:$M$82,$B5,工资表明细!AL$3:AL$82)</f>
        <v>18327.84</v>
      </c>
      <c r="AA5" s="280">
        <f>SUMIF(工资表明细!$M$3:$M$82,$B5,工资表明细!AM$3:AM$82)</f>
        <v>4600</v>
      </c>
      <c r="AB5" s="280">
        <f>SUMIF(工资表明细!$M$3:$M$82,$B5,工资表明细!AN$3:AN$82)</f>
        <v>476</v>
      </c>
      <c r="AC5" s="280">
        <f>SUMIF(工资表明细!$M$3:$M$82,$B5,工资表明细!AO$3:AO$82)</f>
        <v>20480</v>
      </c>
      <c r="AD5" s="280">
        <f>SUMIF(工资表明细!$M$3:$M$82,$B5,工资表明细!BE$3:BE$82)</f>
        <v>7179.72</v>
      </c>
      <c r="AE5" s="280">
        <f>SUMIF(工资表明细!$M$3:$M$82,$B5,工资表明细!BF$3:BF$82)</f>
        <v>190569.54</v>
      </c>
    </row>
    <row r="6" ht="24.75" customHeight="1" spans="1:31">
      <c r="A6" s="281" t="s">
        <v>39</v>
      </c>
      <c r="B6" s="282"/>
      <c r="C6" s="283">
        <f>SUM(C3:C5)</f>
        <v>78</v>
      </c>
      <c r="D6" s="284">
        <f t="shared" ref="C6:AE6" si="0">SUM(D3:D5)</f>
        <v>1790300</v>
      </c>
      <c r="E6" s="284">
        <f t="shared" si="0"/>
        <v>0</v>
      </c>
      <c r="F6" s="284">
        <f t="shared" si="0"/>
        <v>0</v>
      </c>
      <c r="G6" s="284">
        <f t="shared" si="0"/>
        <v>0</v>
      </c>
      <c r="H6" s="284">
        <f t="shared" si="0"/>
        <v>0</v>
      </c>
      <c r="I6" s="284">
        <f t="shared" si="0"/>
        <v>49494.26</v>
      </c>
      <c r="J6" s="284">
        <f t="shared" si="0"/>
        <v>0</v>
      </c>
      <c r="K6" s="284">
        <f t="shared" si="0"/>
        <v>0</v>
      </c>
      <c r="L6" s="284">
        <f t="shared" si="0"/>
        <v>0</v>
      </c>
      <c r="M6" s="284">
        <f t="shared" si="0"/>
        <v>0</v>
      </c>
      <c r="N6" s="284">
        <f t="shared" si="0"/>
        <v>0</v>
      </c>
      <c r="O6" s="284">
        <f t="shared" si="0"/>
        <v>0</v>
      </c>
      <c r="P6" s="284">
        <f t="shared" si="0"/>
        <v>0</v>
      </c>
      <c r="Q6" s="284">
        <f t="shared" si="0"/>
        <v>0</v>
      </c>
      <c r="R6" s="284">
        <f t="shared" si="0"/>
        <v>800</v>
      </c>
      <c r="S6" s="284">
        <f t="shared" si="0"/>
        <v>800</v>
      </c>
      <c r="T6" s="284">
        <f t="shared" si="0"/>
        <v>1741605.74</v>
      </c>
      <c r="U6" s="284">
        <f t="shared" si="0"/>
        <v>0</v>
      </c>
      <c r="V6" s="284">
        <f t="shared" si="0"/>
        <v>0</v>
      </c>
      <c r="W6" s="284">
        <f t="shared" si="0"/>
        <v>0</v>
      </c>
      <c r="X6" s="284">
        <f t="shared" si="0"/>
        <v>-699.99</v>
      </c>
      <c r="Y6" s="284">
        <f t="shared" si="0"/>
        <v>-699.99</v>
      </c>
      <c r="Z6" s="284">
        <f t="shared" si="0"/>
        <v>119278.4</v>
      </c>
      <c r="AA6" s="284">
        <f t="shared" si="0"/>
        <v>31611.92</v>
      </c>
      <c r="AB6" s="284">
        <f t="shared" si="0"/>
        <v>3371.42</v>
      </c>
      <c r="AC6" s="284">
        <f t="shared" si="0"/>
        <v>131083.1</v>
      </c>
      <c r="AD6" s="284">
        <f t="shared" si="0"/>
        <v>126995.41</v>
      </c>
      <c r="AE6" s="284">
        <f t="shared" si="0"/>
        <v>1329965.48</v>
      </c>
    </row>
    <row r="7" ht="39.95" customHeight="1" spans="1:31">
      <c r="K7" s="285"/>
    </row>
    <row r="8" ht="18" spans="1:31">
      <c r="A8" s="255" t="s">
        <v>57</v>
      </c>
      <c r="C8" s="286"/>
      <c r="D8" s="256"/>
      <c r="E8" s="256" t="s">
        <v>58</v>
      </c>
      <c r="G8" s="256"/>
      <c r="J8" s="256"/>
      <c r="K8" s="257" t="s">
        <v>59</v>
      </c>
      <c r="L8" s="256"/>
      <c r="N8" s="257"/>
      <c r="P8" s="257"/>
      <c r="Q8" s="257"/>
      <c r="T8" s="257" t="s">
        <v>60</v>
      </c>
      <c r="U8" s="257"/>
      <c r="W8" s="257"/>
      <c r="Y8" s="256"/>
      <c r="Z8" s="197" t="s">
        <v>61</v>
      </c>
      <c r="AA8" s="287"/>
      <c r="AC8" s="257" t="s">
        <v>61</v>
      </c>
      <c r="AD8" s="287"/>
      <c r="AE8" s="287"/>
    </row>
    <row r="13" spans="1:31">
      <c r="K13" s="288"/>
    </row>
    <row r="14" spans="1:31">
      <c r="K14" s="288"/>
    </row>
    <row r="15" spans="1:31">
      <c r="K15" s="288"/>
    </row>
    <row r="16" spans="1:31">
      <c r="K16" s="288"/>
    </row>
    <row r="17" spans="1:31">
      <c r="K17" s="288"/>
    </row>
    <row r="18" ht="51" customHeight="1" spans="1:31">
      <c r="A18" s="272" t="s">
        <v>52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2"/>
      <c r="X18" s="272"/>
      <c r="Y18" s="272"/>
      <c r="Z18" s="272"/>
      <c r="AA18" s="272"/>
      <c r="AB18" s="272"/>
      <c r="AC18" s="272"/>
      <c r="AD18" s="272"/>
      <c r="AE18" s="272"/>
    </row>
    <row r="19" ht="35.1" customHeight="1" spans="1:31">
      <c r="A19" s="273" t="s">
        <v>62</v>
      </c>
      <c r="B19" s="274" t="s">
        <v>62</v>
      </c>
      <c r="C19" s="275" t="s">
        <v>3</v>
      </c>
      <c r="D19" s="276" t="s">
        <v>4</v>
      </c>
      <c r="E19" s="276" t="s">
        <v>5</v>
      </c>
      <c r="F19" s="276" t="s">
        <v>6</v>
      </c>
      <c r="G19" s="276" t="s">
        <v>55</v>
      </c>
      <c r="H19" s="276" t="s">
        <v>8</v>
      </c>
      <c r="I19" s="276" t="s">
        <v>9</v>
      </c>
      <c r="J19" s="276" t="s">
        <v>10</v>
      </c>
      <c r="K19" s="276" t="s">
        <v>11</v>
      </c>
      <c r="L19" s="276" t="s">
        <v>12</v>
      </c>
      <c r="M19" s="276" t="s">
        <v>13</v>
      </c>
      <c r="N19" s="276" t="s">
        <v>14</v>
      </c>
      <c r="O19" s="276" t="s">
        <v>15</v>
      </c>
      <c r="P19" s="276" t="s">
        <v>16</v>
      </c>
      <c r="Q19" s="276" t="s">
        <v>17</v>
      </c>
      <c r="R19" s="276" t="s">
        <v>18</v>
      </c>
      <c r="S19" s="276" t="s">
        <v>19</v>
      </c>
      <c r="T19" s="276" t="s">
        <v>20</v>
      </c>
      <c r="U19" s="276" t="s">
        <v>21</v>
      </c>
      <c r="V19" s="276" t="s">
        <v>22</v>
      </c>
      <c r="W19" s="276" t="s">
        <v>23</v>
      </c>
      <c r="X19" s="276" t="s">
        <v>56</v>
      </c>
      <c r="Y19" s="276" t="s">
        <v>25</v>
      </c>
      <c r="Z19" s="276" t="s">
        <v>26</v>
      </c>
      <c r="AA19" s="276" t="s">
        <v>27</v>
      </c>
      <c r="AB19" s="276" t="s">
        <v>28</v>
      </c>
      <c r="AC19" s="276" t="s">
        <v>29</v>
      </c>
      <c r="AD19" s="276" t="s">
        <v>30</v>
      </c>
      <c r="AE19" s="277" t="s">
        <v>31</v>
      </c>
    </row>
    <row r="20" ht="29.1" customHeight="1" spans="1:31">
      <c r="A20" s="273" t="s">
        <v>63</v>
      </c>
      <c r="B20" s="278" t="s">
        <v>63</v>
      </c>
      <c r="C20" s="279">
        <f>SUMIF(工资表明细!$G$3:$G$82,$B20,工资表明细!$L$3:$L$82)</f>
        <v>4</v>
      </c>
      <c r="D20" s="280">
        <f>SUMIF(工资表明细!$G$3:$G$82,$B20,工资表明细!P$3:P$82)</f>
        <v>80000</v>
      </c>
      <c r="E20" s="280">
        <f>SUMIF(工资表明细!$G$3:$G$82,$B20,工资表明细!Q$3:Q$82)</f>
        <v>0</v>
      </c>
      <c r="F20" s="280">
        <f>SUMIF(工资表明细!$G$3:$G$82,$B20,工资表明细!R$3:R$82)</f>
        <v>0</v>
      </c>
      <c r="G20" s="280">
        <f>SUMIF(工资表明细!$G$3:$G$82,$B20,工资表明细!S$3:S$82)</f>
        <v>0</v>
      </c>
      <c r="H20" s="280">
        <f>SUMIF(工资表明细!$G$3:$G$82,$B20,工资表明细!T$3:T$82)</f>
        <v>0</v>
      </c>
      <c r="I20" s="280">
        <f>SUMIF(工资表明细!$G$3:$G$82,$B20,工资表明细!U$3:U$82)</f>
        <v>0</v>
      </c>
      <c r="J20" s="280">
        <f>SUMIF(工资表明细!$G$3:$G$82,$B20,工资表明细!V$3:V$82)</f>
        <v>0</v>
      </c>
      <c r="K20" s="280">
        <f>SUMIF(工资表明细!$G$3:$G$82,$B20,工资表明细!W$3:W$82)</f>
        <v>0</v>
      </c>
      <c r="L20" s="280">
        <f>SUMIF(工资表明细!$G$3:$G$82,$B20,工资表明细!X$3:X$82)</f>
        <v>0</v>
      </c>
      <c r="M20" s="280">
        <f>SUMIF(工资表明细!$G$3:$G$82,$B20,工资表明细!Y$3:Y$82)</f>
        <v>0</v>
      </c>
      <c r="N20" s="280">
        <f>SUMIF(工资表明细!$G$3:$G$82,$B20,工资表明细!Z$3:Z$82)</f>
        <v>0</v>
      </c>
      <c r="O20" s="280">
        <f>SUMIF(工资表明细!$G$3:$G$82,$B20,工资表明细!AA$3:AA$82)</f>
        <v>0</v>
      </c>
      <c r="P20" s="280">
        <f>SUMIF(工资表明细!$G$3:$G$82,$B20,工资表明细!AB$3:AB$82)</f>
        <v>0</v>
      </c>
      <c r="Q20" s="280">
        <f>SUMIF(工资表明细!$G$3:$G$82,$B20,工资表明细!AC$3:AC$82)</f>
        <v>0</v>
      </c>
      <c r="R20" s="280">
        <f>SUMIF(工资表明细!$G$3:$G$82,$B20,工资表明细!AD$3:AD$82)</f>
        <v>0</v>
      </c>
      <c r="S20" s="280">
        <f>SUMIF(工资表明细!$G$3:$G$82,$B20,工资表明细!AE$3:AE$82)</f>
        <v>0</v>
      </c>
      <c r="T20" s="280">
        <f>SUMIF(工资表明细!$G$3:$G$82,$B20,工资表明细!AF$3:AF$82)</f>
        <v>80000</v>
      </c>
      <c r="U20" s="280">
        <f>SUMIF(工资表明细!$G$3:$G$82,$B20,工资表明细!AG$3:AG$82)</f>
        <v>0</v>
      </c>
      <c r="V20" s="280">
        <f>SUMIF(工资表明细!$G$3:$G$82,$B20,工资表明细!AH$3:AH$82)</f>
        <v>0</v>
      </c>
      <c r="W20" s="280">
        <f>SUMIF(工资表明细!$G$3:$G$82,$B20,工资表明细!AI$3:AI$82)</f>
        <v>0</v>
      </c>
      <c r="X20" s="280">
        <f>SUMIF(工资表明细!$G$3:$G$82,$B20,工资表明细!AJ$3:AJ$82)</f>
        <v>-400</v>
      </c>
      <c r="Y20" s="280">
        <f>SUMIF(工资表明细!$G$3:$G$82,$B20,工资表明细!AK$3:AK$82)</f>
        <v>-400</v>
      </c>
      <c r="Z20" s="280">
        <f>SUMIF(工资表明细!$G$3:$G$82,$B20,工资表明细!AL$3:AL$82)</f>
        <v>6400</v>
      </c>
      <c r="AA20" s="280">
        <f>SUMIF(工资表明细!$G$3:$G$82,$B20,工资表明细!AG$3:AG$82)</f>
        <v>0</v>
      </c>
      <c r="AB20" s="280">
        <f>SUMIF(工资表明细!$G$3:$G$82,$B20,工资表明细!AN$3:AN$82)</f>
        <v>160</v>
      </c>
      <c r="AC20" s="280">
        <f>SUMIF(工资表明细!$G$3:$G$82,$B20,工资表明细!AO$3:AO$82)</f>
        <v>4620</v>
      </c>
      <c r="AD20" s="280">
        <f>SUMIF(工资表明细!$G$3:$G$82,$B20,工资表明细!BE$3:BE$82)</f>
        <v>3072.9</v>
      </c>
      <c r="AE20" s="280">
        <f>SUMIF(工资表明细!$G$3:$G$82,$B20,工资表明细!BF$3:BF$82)</f>
        <v>64547.1</v>
      </c>
    </row>
    <row r="21" ht="29.1" customHeight="1" spans="1:31">
      <c r="A21" s="273" t="s">
        <v>64</v>
      </c>
      <c r="B21" s="278" t="s">
        <v>64</v>
      </c>
      <c r="C21" s="279">
        <f>SUMIF(工资表明细!$G$3:$G$82,$B21,工资表明细!$L$3:$L$82)</f>
        <v>3</v>
      </c>
      <c r="D21" s="280">
        <f>SUMIF(工资表明细!$G$3:$G$82,$B21,工资表明细!P$3:P$82)</f>
        <v>78000</v>
      </c>
      <c r="E21" s="280">
        <f>SUMIF(工资表明细!$G$3:$G$82,$B21,工资表明细!Q$3:Q$82)</f>
        <v>0</v>
      </c>
      <c r="F21" s="280">
        <f>SUMIF(工资表明细!$G$3:$G$82,$B21,工资表明细!R$3:R$82)</f>
        <v>0</v>
      </c>
      <c r="G21" s="280">
        <f>SUMIF(工资表明细!$G$3:$G$82,$B21,工资表明细!S$3:S$82)</f>
        <v>0</v>
      </c>
      <c r="H21" s="280">
        <f>SUMIF(工资表明细!$G$3:$G$82,$B21,工资表明细!T$3:T$82)</f>
        <v>0</v>
      </c>
      <c r="I21" s="280">
        <f>SUMIF(工资表明细!$G$3:$G$82,$B21,工资表明细!U$3:U$82)</f>
        <v>2206.9</v>
      </c>
      <c r="J21" s="280">
        <f>SUMIF(工资表明细!$G$3:$G$82,$B21,工资表明细!V$3:V$82)</f>
        <v>0</v>
      </c>
      <c r="K21" s="280">
        <f>SUMIF(工资表明细!$G$3:$G$82,$B21,工资表明细!W$3:W$82)</f>
        <v>0</v>
      </c>
      <c r="L21" s="280">
        <f>SUMIF(工资表明细!$G$3:$G$82,$B21,工资表明细!X$3:X$82)</f>
        <v>0</v>
      </c>
      <c r="M21" s="280">
        <f>SUMIF(工资表明细!$G$3:$G$82,$B21,工资表明细!Y$3:Y$82)</f>
        <v>0</v>
      </c>
      <c r="N21" s="280">
        <f>SUMIF(工资表明细!$G$3:$G$82,$B21,工资表明细!Z$3:Z$82)</f>
        <v>0</v>
      </c>
      <c r="O21" s="280">
        <f>SUMIF(工资表明细!$G$3:$G$82,$B21,工资表明细!AA$3:AA$82)</f>
        <v>0</v>
      </c>
      <c r="P21" s="280">
        <f>SUMIF(工资表明细!$G$3:$G$82,$B21,工资表明细!AB$3:AB$82)</f>
        <v>0</v>
      </c>
      <c r="Q21" s="280">
        <f>SUMIF(工资表明细!$G$3:$G$82,$B21,工资表明细!AC$3:AC$82)</f>
        <v>0</v>
      </c>
      <c r="R21" s="280">
        <f>SUMIF(工资表明细!$G$3:$G$82,$B21,工资表明细!AD$3:AD$82)</f>
        <v>0</v>
      </c>
      <c r="S21" s="280">
        <f>SUMIF(工资表明细!$G$3:$G$82,$B21,工资表明细!AE$3:AE$82)</f>
        <v>0</v>
      </c>
      <c r="T21" s="280">
        <f>SUMIF(工资表明细!$G$3:$G$82,$B21,工资表明细!AF$3:AF$82)</f>
        <v>75793.1</v>
      </c>
      <c r="U21" s="280">
        <f>SUMIF(工资表明细!$G$3:$G$82,$B21,工资表明细!AG$3:AG$82)</f>
        <v>0</v>
      </c>
      <c r="V21" s="280">
        <f>SUMIF(工资表明细!$G$3:$G$82,$B21,工资表明细!AH$3:AH$82)</f>
        <v>0</v>
      </c>
      <c r="W21" s="280">
        <f>SUMIF(工资表明细!$G$3:$G$82,$B21,工资表明细!AI$3:AI$82)</f>
        <v>0</v>
      </c>
      <c r="X21" s="280">
        <f>SUMIF(工资表明细!$G$3:$G$82,$B21,工资表明细!AJ$3:AJ$82)</f>
        <v>-560</v>
      </c>
      <c r="Y21" s="280">
        <f>SUMIF(工资表明细!$G$3:$G$82,$B21,工资表明细!AK$3:AK$82)</f>
        <v>-560</v>
      </c>
      <c r="Z21" s="280">
        <f>SUMIF(工资表明细!$G$3:$G$82,$B21,工资表明细!AL$3:AL$82)</f>
        <v>5643.92</v>
      </c>
      <c r="AA21" s="280">
        <f>SUMIF(工资表明细!$G$3:$G$82,$B21,工资表明细!AG$3:AG$82)</f>
        <v>0</v>
      </c>
      <c r="AB21" s="280">
        <f>SUMIF(工资表明细!$G$3:$G$82,$B21,工资表明细!AN$3:AN$82)</f>
        <v>156</v>
      </c>
      <c r="AC21" s="280">
        <f>SUMIF(工资表明细!$G$3:$G$82,$B21,工资表明细!AO$3:AO$82)</f>
        <v>5160</v>
      </c>
      <c r="AD21" s="280">
        <f>SUMIF(工资表明细!$G$3:$G$82,$B21,工资表明细!BE$3:BE$82)</f>
        <v>3195.75</v>
      </c>
      <c r="AE21" s="280">
        <f>SUMIF(工资表明细!$G$3:$G$82,$B21,工资表明细!BF$3:BF$82)</f>
        <v>60664.77</v>
      </c>
    </row>
    <row r="22" ht="29.1" customHeight="1" spans="1:31">
      <c r="A22" s="273" t="s">
        <v>65</v>
      </c>
      <c r="B22" s="278" t="s">
        <v>65</v>
      </c>
      <c r="C22" s="279">
        <f>SUMIF(工资表明细!$G$3:$G$82,$B22,工资表明细!$L$3:$L$82)</f>
        <v>33</v>
      </c>
      <c r="D22" s="280">
        <f>SUMIF(工资表明细!$G$3:$G$82,$B22,工资表明细!P$3:P$82)</f>
        <v>770300</v>
      </c>
      <c r="E22" s="280">
        <f>SUMIF(工资表明细!$G$3:$G$82,$B22,工资表明细!Q$3:Q$82)</f>
        <v>0</v>
      </c>
      <c r="F22" s="280">
        <f>SUMIF(工资表明细!$G$3:$G$82,$B22,工资表明细!R$3:R$82)</f>
        <v>0</v>
      </c>
      <c r="G22" s="280">
        <f>SUMIF(工资表明细!$G$3:$G$82,$B22,工资表明细!S$3:S$82)</f>
        <v>0</v>
      </c>
      <c r="H22" s="280">
        <f>SUMIF(工资表明细!$G$3:$G$82,$B22,工资表明细!T$3:T$82)</f>
        <v>0</v>
      </c>
      <c r="I22" s="280">
        <f>SUMIF(工资表明细!$G$3:$G$82,$B22,工资表明细!U$3:U$82)</f>
        <v>14298.85</v>
      </c>
      <c r="J22" s="280">
        <f>SUMIF(工资表明细!$G$3:$G$82,$B22,工资表明细!V$3:V$82)</f>
        <v>0</v>
      </c>
      <c r="K22" s="280">
        <f>SUMIF(工资表明细!$G$3:$G$82,$B22,工资表明细!W$3:W$82)</f>
        <v>0</v>
      </c>
      <c r="L22" s="280">
        <f>SUMIF(工资表明细!$G$3:$G$82,$B22,工资表明细!X$3:X$82)</f>
        <v>0</v>
      </c>
      <c r="M22" s="280">
        <f>SUMIF(工资表明细!$G$3:$G$82,$B22,工资表明细!Y$3:Y$82)</f>
        <v>0</v>
      </c>
      <c r="N22" s="280">
        <f>SUMIF(工资表明细!$G$3:$G$82,$B22,工资表明细!Z$3:Z$82)</f>
        <v>0</v>
      </c>
      <c r="O22" s="280">
        <f>SUMIF(工资表明细!$G$3:$G$82,$B22,工资表明细!AA$3:AA$82)</f>
        <v>0</v>
      </c>
      <c r="P22" s="280">
        <f>SUMIF(工资表明细!$G$3:$G$82,$B22,工资表明细!AB$3:AB$82)</f>
        <v>0</v>
      </c>
      <c r="Q22" s="280">
        <f>SUMIF(工资表明细!$G$3:$G$82,$B22,工资表明细!AC$3:AC$82)</f>
        <v>0</v>
      </c>
      <c r="R22" s="280">
        <f>SUMIF(工资表明细!$G$3:$G$82,$B22,工资表明细!AD$3:AD$82)</f>
        <v>200</v>
      </c>
      <c r="S22" s="280">
        <f>SUMIF(工资表明细!$G$3:$G$82,$B22,工资表明细!AE$3:AE$82)</f>
        <v>200</v>
      </c>
      <c r="T22" s="280">
        <f>SUMIF(工资表明细!$G$3:$G$82,$B22,工资表明细!AF$3:AF$82)</f>
        <v>756201.15</v>
      </c>
      <c r="U22" s="280">
        <f>SUMIF(工资表明细!$G$3:$G$82,$B22,工资表明细!AG$3:AG$82)</f>
        <v>0</v>
      </c>
      <c r="V22" s="280">
        <f>SUMIF(工资表明细!$G$3:$G$82,$B22,工资表明细!AH$3:AH$82)</f>
        <v>0</v>
      </c>
      <c r="W22" s="280">
        <f>SUMIF(工资表明细!$G$3:$G$82,$B22,工资表明细!AI$3:AI$82)</f>
        <v>0</v>
      </c>
      <c r="X22" s="280">
        <f>SUMIF(工资表明细!$G$3:$G$82,$B22,工资表明细!AJ$3:AJ$82)</f>
        <v>2600.25</v>
      </c>
      <c r="Y22" s="280">
        <f>SUMIF(工资表明细!$G$3:$G$82,$B22,工资表明细!AK$3:AK$82)</f>
        <v>2600.25</v>
      </c>
      <c r="Z22" s="280">
        <f>SUMIF(工资表明细!$G$3:$G$82,$B22,工资表明细!AL$3:AL$82)</f>
        <v>53951.36</v>
      </c>
      <c r="AA22" s="280">
        <f>SUMIF(工资表明细!$G$3:$G$82,$B22,工资表明细!AG$3:AG$82)</f>
        <v>0</v>
      </c>
      <c r="AB22" s="280">
        <f>SUMIF(工资表明细!$G$3:$G$82,$B22,工资表明细!AN$3:AN$82)</f>
        <v>1529.54</v>
      </c>
      <c r="AC22" s="280">
        <f>SUMIF(工资表明细!$G$3:$G$82,$B22,工资表明细!AO$3:AO$82)</f>
        <v>56103.6</v>
      </c>
      <c r="AD22" s="280">
        <f>SUMIF(工资表明细!$G$3:$G$82,$B22,工资表明细!BE$3:BE$82)</f>
        <v>54397.54</v>
      </c>
      <c r="AE22" s="280">
        <f>SUMIF(工资表明细!$G$3:$G$82,$B22,工资表明细!BF$3:BF$82)</f>
        <v>573282.9</v>
      </c>
    </row>
    <row r="23" ht="29.1" customHeight="1" spans="1:31">
      <c r="A23" s="273" t="s">
        <v>66</v>
      </c>
      <c r="B23" s="278" t="s">
        <v>66</v>
      </c>
      <c r="C23" s="279">
        <f>SUMIF(工资表明细!$G$3:$G$82,$B23,工资表明细!$L$3:$L$82)</f>
        <v>6</v>
      </c>
      <c r="D23" s="280">
        <f>SUMIF(工资表明细!$G$3:$G$82,$B23,工资表明细!P$3:P$82)</f>
        <v>117000</v>
      </c>
      <c r="E23" s="280">
        <f>SUMIF(工资表明细!$G$3:$G$82,$B23,工资表明细!Q$3:Q$82)</f>
        <v>0</v>
      </c>
      <c r="F23" s="280">
        <f>SUMIF(工资表明细!$G$3:$G$82,$B23,工资表明细!R$3:R$82)</f>
        <v>0</v>
      </c>
      <c r="G23" s="280">
        <f>SUMIF(工资表明细!$G$3:$G$82,$B23,工资表明细!S$3:S$82)</f>
        <v>0</v>
      </c>
      <c r="H23" s="280">
        <f>SUMIF(工资表明细!$G$3:$G$82,$B23,工资表明细!T$3:T$82)</f>
        <v>0</v>
      </c>
      <c r="I23" s="280">
        <f>SUMIF(工资表明细!$G$3:$G$82,$B23,工资表明细!U$3:U$82)</f>
        <v>183.91</v>
      </c>
      <c r="J23" s="280">
        <f>SUMIF(工资表明细!$G$3:$G$82,$B23,工资表明细!V$3:V$82)</f>
        <v>0</v>
      </c>
      <c r="K23" s="280">
        <f>SUMIF(工资表明细!$G$3:$G$82,$B23,工资表明细!W$3:W$82)</f>
        <v>0</v>
      </c>
      <c r="L23" s="280">
        <f>SUMIF(工资表明细!$G$3:$G$82,$B23,工资表明细!X$3:X$82)</f>
        <v>0</v>
      </c>
      <c r="M23" s="280">
        <f>SUMIF(工资表明细!$G$3:$G$82,$B23,工资表明细!Y$3:Y$82)</f>
        <v>0</v>
      </c>
      <c r="N23" s="280">
        <f>SUMIF(工资表明细!$G$3:$G$82,$B23,工资表明细!Z$3:Z$82)</f>
        <v>0</v>
      </c>
      <c r="O23" s="280">
        <f>SUMIF(工资表明细!$G$3:$G$82,$B23,工资表明细!AA$3:AA$82)</f>
        <v>0</v>
      </c>
      <c r="P23" s="280">
        <f>SUMIF(工资表明细!$G$3:$G$82,$B23,工资表明细!AB$3:AB$82)</f>
        <v>0</v>
      </c>
      <c r="Q23" s="280">
        <f>SUMIF(工资表明细!$G$3:$G$82,$B23,工资表明细!AC$3:AC$82)</f>
        <v>0</v>
      </c>
      <c r="R23" s="280">
        <f>SUMIF(工资表明细!$G$3:$G$82,$B23,工资表明细!AD$3:AD$82)</f>
        <v>0</v>
      </c>
      <c r="S23" s="280">
        <f>SUMIF(工资表明细!$G$3:$G$82,$B23,工资表明细!AE$3:AE$82)</f>
        <v>0</v>
      </c>
      <c r="T23" s="280">
        <f>SUMIF(工资表明细!$G$3:$G$82,$B23,工资表明细!AF$3:AF$82)</f>
        <v>116816.09</v>
      </c>
      <c r="U23" s="280">
        <f>SUMIF(工资表明细!$G$3:$G$82,$B23,工资表明细!AG$3:AG$82)</f>
        <v>0</v>
      </c>
      <c r="V23" s="280">
        <f>SUMIF(工资表明细!$G$3:$G$82,$B23,工资表明细!AH$3:AH$82)</f>
        <v>0</v>
      </c>
      <c r="W23" s="280">
        <f>SUMIF(工资表明细!$G$3:$G$82,$B23,工资表明细!AI$3:AI$82)</f>
        <v>0</v>
      </c>
      <c r="X23" s="280">
        <f>SUMIF(工资表明细!$G$3:$G$82,$B23,工资表明细!AJ$3:AJ$82)</f>
        <v>-800</v>
      </c>
      <c r="Y23" s="280">
        <f>SUMIF(工资表明细!$G$3:$G$82,$B23,工资表明细!AK$3:AK$82)</f>
        <v>-800</v>
      </c>
      <c r="Z23" s="280">
        <f>SUMIF(工资表明细!$G$3:$G$82,$B23,工资表明细!AL$3:AL$82)</f>
        <v>5323.92</v>
      </c>
      <c r="AA23" s="280">
        <f>SUMIF(工资表明细!$G$3:$G$82,$B23,工资表明细!AG$3:AG$82)</f>
        <v>0</v>
      </c>
      <c r="AB23" s="280">
        <f>SUMIF(工资表明细!$G$3:$G$82,$B23,工资表明细!AN$3:AN$82)</f>
        <v>150</v>
      </c>
      <c r="AC23" s="280">
        <f>SUMIF(工资表明细!$G$3:$G$82,$B23,工资表明细!AO$3:AO$82)</f>
        <v>6500</v>
      </c>
      <c r="AD23" s="280">
        <f>SUMIF(工资表明细!$G$3:$G$82,$B23,工资表明细!BE$3:BE$82)</f>
        <v>9377.56</v>
      </c>
      <c r="AE23" s="280">
        <f>SUMIF(工资表明细!$G$3:$G$82,$B23,工资表明细!BF$3:BF$82)</f>
        <v>94924.61</v>
      </c>
    </row>
    <row r="24" ht="29.1" customHeight="1" spans="1:31">
      <c r="A24" s="273" t="s">
        <v>67</v>
      </c>
      <c r="B24" s="278" t="s">
        <v>67</v>
      </c>
      <c r="C24" s="279">
        <f>SUMIF(工资表明细!$G$3:$G$82,$B24,工资表明细!$L$3:$L$82)</f>
        <v>17</v>
      </c>
      <c r="D24" s="280">
        <f>SUMIF(工资表明细!$G$3:$G$82,$B24,工资表明细!P$3:P$82)</f>
        <v>467000</v>
      </c>
      <c r="E24" s="280">
        <f>SUMIF(工资表明细!$G$3:$G$82,$B24,工资表明细!Q$3:Q$82)</f>
        <v>0</v>
      </c>
      <c r="F24" s="280">
        <f>SUMIF(工资表明细!$G$3:$G$82,$B24,工资表明细!R$3:R$82)</f>
        <v>0</v>
      </c>
      <c r="G24" s="280">
        <f>SUMIF(工资表明细!$G$3:$G$82,$B24,工资表明细!S$3:S$82)</f>
        <v>0</v>
      </c>
      <c r="H24" s="280">
        <f>SUMIF(工资表明细!$G$3:$G$82,$B24,工资表明细!T$3:T$82)</f>
        <v>0</v>
      </c>
      <c r="I24" s="280">
        <f>SUMIF(工资表明细!$G$3:$G$82,$B24,工资表明细!U$3:U$82)</f>
        <v>28988.51</v>
      </c>
      <c r="J24" s="280">
        <f>SUMIF(工资表明细!$G$3:$G$82,$B24,工资表明细!V$3:V$82)</f>
        <v>0</v>
      </c>
      <c r="K24" s="280">
        <f>SUMIF(工资表明细!$G$3:$G$82,$B24,工资表明细!W$3:W$82)</f>
        <v>0</v>
      </c>
      <c r="L24" s="280">
        <f>SUMIF(工资表明细!$G$3:$G$82,$B24,工资表明细!X$3:X$82)</f>
        <v>0</v>
      </c>
      <c r="M24" s="280">
        <f>SUMIF(工资表明细!$G$3:$G$82,$B24,工资表明细!Y$3:Y$82)</f>
        <v>0</v>
      </c>
      <c r="N24" s="280">
        <f>SUMIF(工资表明细!$G$3:$G$82,$B24,工资表明细!Z$3:Z$82)</f>
        <v>0</v>
      </c>
      <c r="O24" s="280">
        <f>SUMIF(工资表明细!$G$3:$G$82,$B24,工资表明细!AA$3:AA$82)</f>
        <v>0</v>
      </c>
      <c r="P24" s="280">
        <f>SUMIF(工资表明细!$G$3:$G$82,$B24,工资表明细!AB$3:AB$82)</f>
        <v>0</v>
      </c>
      <c r="Q24" s="280">
        <f>SUMIF(工资表明细!$G$3:$G$82,$B24,工资表明细!AC$3:AC$82)</f>
        <v>0</v>
      </c>
      <c r="R24" s="280">
        <f>SUMIF(工资表明细!$G$3:$G$82,$B24,工资表明细!AD$3:AD$82)</f>
        <v>600</v>
      </c>
      <c r="S24" s="280">
        <f>SUMIF(工资表明细!$G$3:$G$82,$B24,工资表明细!AE$3:AE$82)</f>
        <v>600</v>
      </c>
      <c r="T24" s="280">
        <f>SUMIF(工资表明细!$G$3:$G$82,$B24,工资表明细!AF$3:AF$82)</f>
        <v>438611.49</v>
      </c>
      <c r="U24" s="280">
        <f>SUMIF(工资表明细!$G$3:$G$82,$B24,工资表明细!AG$3:AG$82)</f>
        <v>0</v>
      </c>
      <c r="V24" s="280">
        <f>SUMIF(工资表明细!$G$3:$G$82,$B24,工资表明细!AH$3:AH$82)</f>
        <v>0</v>
      </c>
      <c r="W24" s="280">
        <f>SUMIF(工资表明细!$G$3:$G$82,$B24,工资表明细!AI$3:AI$82)</f>
        <v>0</v>
      </c>
      <c r="X24" s="280">
        <f>SUMIF(工资表明细!$G$3:$G$82,$B24,工资表明细!AJ$3:AJ$82)</f>
        <v>-1240</v>
      </c>
      <c r="Y24" s="280">
        <f>SUMIF(工资表明细!$G$3:$G$82,$B24,工资表明细!AK$3:AK$82)</f>
        <v>-1240</v>
      </c>
      <c r="Z24" s="280">
        <f>SUMIF(工资表明细!$G$3:$G$82,$B24,工资表明细!AL$3:AL$82)</f>
        <v>26947.44</v>
      </c>
      <c r="AA24" s="280">
        <f>SUMIF(工资表明细!$G$3:$G$82,$B24,工资表明细!AG$3:AG$82)</f>
        <v>0</v>
      </c>
      <c r="AB24" s="280">
        <f>SUMIF(工资表明细!$G$3:$G$82,$B24,工资表明细!AN$3:AN$82)</f>
        <v>827.88</v>
      </c>
      <c r="AC24" s="280">
        <f>SUMIF(工资表明细!$G$3:$G$82,$B24,工资表明细!AO$3:AO$82)</f>
        <v>35599.5</v>
      </c>
      <c r="AD24" s="280">
        <f>SUMIF(工资表明细!$G$3:$G$82,$B24,工资表明细!BE$3:BE$82)</f>
        <v>44325.1</v>
      </c>
      <c r="AE24" s="280">
        <f>SUMIF(工资表明细!$G$3:$G$82,$B24,工资表明细!BF$3:BF$82)</f>
        <v>324780.93</v>
      </c>
    </row>
    <row r="25" ht="29.1" customHeight="1" spans="1:31">
      <c r="A25" s="273" t="s">
        <v>68</v>
      </c>
      <c r="B25" s="278" t="s">
        <v>68</v>
      </c>
      <c r="C25" s="279">
        <f>SUMIF(工资表明细!$G$3:$G$82,$B25,工资表明细!$L$3:$L$82)</f>
        <v>4</v>
      </c>
      <c r="D25" s="280">
        <f>SUMIF(工资表明细!$G$3:$G$82,$B25,工资表明细!P$3:P$82)</f>
        <v>60000</v>
      </c>
      <c r="E25" s="280">
        <f>SUMIF(工资表明细!$G$3:$G$82,$B25,工资表明细!Q$3:Q$82)</f>
        <v>0</v>
      </c>
      <c r="F25" s="280">
        <f>SUMIF(工资表明细!$G$3:$G$82,$B25,工资表明细!R$3:R$82)</f>
        <v>0</v>
      </c>
      <c r="G25" s="280">
        <f>SUMIF(工资表明细!$G$3:$G$82,$B25,工资表明细!S$3:S$82)</f>
        <v>0</v>
      </c>
      <c r="H25" s="280">
        <f>SUMIF(工资表明细!$G$3:$G$82,$B25,工资表明细!T$3:T$82)</f>
        <v>0</v>
      </c>
      <c r="I25" s="280">
        <f>SUMIF(工资表明细!$G$3:$G$82,$B25,工资表明细!U$3:U$82)</f>
        <v>0</v>
      </c>
      <c r="J25" s="280">
        <f>SUMIF(工资表明细!$G$3:$G$82,$B25,工资表明细!V$3:V$82)</f>
        <v>0</v>
      </c>
      <c r="K25" s="280">
        <f>SUMIF(工资表明细!$G$3:$G$82,$B25,工资表明细!W$3:W$82)</f>
        <v>0</v>
      </c>
      <c r="L25" s="280">
        <f>SUMIF(工资表明细!$G$3:$G$82,$B25,工资表明细!X$3:X$82)</f>
        <v>0</v>
      </c>
      <c r="M25" s="280">
        <f>SUMIF(工资表明细!$G$3:$G$82,$B25,工资表明细!Y$3:Y$82)</f>
        <v>0</v>
      </c>
      <c r="N25" s="280">
        <f>SUMIF(工资表明细!$G$3:$G$82,$B25,工资表明细!Z$3:Z$82)</f>
        <v>0</v>
      </c>
      <c r="O25" s="280">
        <f>SUMIF(工资表明细!$G$3:$G$82,$B25,工资表明细!AA$3:AA$82)</f>
        <v>0</v>
      </c>
      <c r="P25" s="280">
        <f>SUMIF(工资表明细!$G$3:$G$82,$B25,工资表明细!AB$3:AB$82)</f>
        <v>0</v>
      </c>
      <c r="Q25" s="280">
        <f>SUMIF(工资表明细!$G$3:$G$82,$B25,工资表明细!AC$3:AC$82)</f>
        <v>0</v>
      </c>
      <c r="R25" s="280">
        <f>SUMIF(工资表明细!$G$3:$G$82,$B25,工资表明细!AD$3:AD$82)</f>
        <v>0</v>
      </c>
      <c r="S25" s="280">
        <f>SUMIF(工资表明细!$G$3:$G$82,$B25,工资表明细!AE$3:AE$82)</f>
        <v>0</v>
      </c>
      <c r="T25" s="280">
        <f>SUMIF(工资表明细!$G$3:$G$82,$B25,工资表明细!AF$3:AF$82)</f>
        <v>60000</v>
      </c>
      <c r="U25" s="280">
        <f>SUMIF(工资表明细!$G$3:$G$82,$B25,工资表明细!AG$3:AG$82)</f>
        <v>0</v>
      </c>
      <c r="V25" s="280">
        <f>SUMIF(工资表明细!$G$3:$G$82,$B25,工资表明细!AH$3:AH$82)</f>
        <v>0</v>
      </c>
      <c r="W25" s="280">
        <f>SUMIF(工资表明细!$G$3:$G$82,$B25,工资表明细!AI$3:AI$82)</f>
        <v>0</v>
      </c>
      <c r="X25" s="280">
        <f>SUMIF(工资表明细!$G$3:$G$82,$B25,工资表明细!AJ$3:AJ$82)</f>
        <v>979.76</v>
      </c>
      <c r="Y25" s="280">
        <f>SUMIF(工资表明细!$G$3:$G$82,$B25,工资表明细!AK$3:AK$82)</f>
        <v>979.76</v>
      </c>
      <c r="Z25" s="280">
        <f>SUMIF(工资表明细!$G$3:$G$82,$B25,工资表明细!AL$3:AL$82)</f>
        <v>4800</v>
      </c>
      <c r="AA25" s="280">
        <f>SUMIF(工资表明细!$G$3:$G$82,$B25,工资表明细!AG$3:AG$82)</f>
        <v>0</v>
      </c>
      <c r="AB25" s="280">
        <f>SUMIF(工资表明细!$G$3:$G$82,$B25,工资表明细!AN$3:AN$82)</f>
        <v>120</v>
      </c>
      <c r="AC25" s="280">
        <f>SUMIF(工资表明细!$G$3:$G$82,$B25,工资表明细!AO$3:AO$82)</f>
        <v>6360</v>
      </c>
      <c r="AD25" s="280">
        <f>SUMIF(工资表明细!$G$3:$G$82,$B25,工资表明细!BE$3:BE$82)</f>
        <v>2102.96</v>
      </c>
      <c r="AE25" s="280">
        <f>SUMIF(工资表明细!$G$3:$G$82,$B25,工资表明细!BF$3:BF$82)</f>
        <v>44437.28</v>
      </c>
    </row>
    <row r="26" ht="29.1" customHeight="1" spans="1:31">
      <c r="A26" s="273" t="s">
        <v>69</v>
      </c>
      <c r="B26" s="278" t="s">
        <v>69</v>
      </c>
      <c r="C26" s="279">
        <f>SUMIF(工资表明细!$G$3:$G$82,$B26,工资表明细!$L$3:$L$82)</f>
        <v>11</v>
      </c>
      <c r="D26" s="280">
        <f>SUMIF(工资表明细!$G$3:$G$82,$B26,工资表明细!P$3:P$82)</f>
        <v>218000</v>
      </c>
      <c r="E26" s="280">
        <f>SUMIF(工资表明细!$G$3:$G$82,$B26,工资表明细!Q$3:Q$82)</f>
        <v>0</v>
      </c>
      <c r="F26" s="280">
        <f>SUMIF(工资表明细!$G$3:$G$82,$B26,工资表明细!R$3:R$82)</f>
        <v>0</v>
      </c>
      <c r="G26" s="280">
        <f>SUMIF(工资表明细!$G$3:$G$82,$B26,工资表明细!S$3:S$82)</f>
        <v>0</v>
      </c>
      <c r="H26" s="280">
        <f>SUMIF(工资表明细!$G$3:$G$82,$B26,工资表明细!T$3:T$82)</f>
        <v>0</v>
      </c>
      <c r="I26" s="280">
        <f>SUMIF(工资表明细!$G$3:$G$82,$B26,工资表明细!U$3:U$82)</f>
        <v>3816.09</v>
      </c>
      <c r="J26" s="280">
        <f>SUMIF(工资表明细!$G$3:$G$82,$B26,工资表明细!V$3:V$82)</f>
        <v>0</v>
      </c>
      <c r="K26" s="280">
        <f>SUMIF(工资表明细!$G$3:$G$82,$B26,工资表明细!W$3:W$82)</f>
        <v>0</v>
      </c>
      <c r="L26" s="280">
        <f>SUMIF(工资表明细!$G$3:$G$82,$B26,工资表明细!X$3:X$82)</f>
        <v>0</v>
      </c>
      <c r="M26" s="280">
        <f>SUMIF(工资表明细!$G$3:$G$82,$B26,工资表明细!Y$3:Y$82)</f>
        <v>0</v>
      </c>
      <c r="N26" s="280">
        <f>SUMIF(工资表明细!$G$3:$G$82,$B26,工资表明细!Z$3:Z$82)</f>
        <v>0</v>
      </c>
      <c r="O26" s="280">
        <f>SUMIF(工资表明细!$G$3:$G$82,$B26,工资表明细!AA$3:AA$82)</f>
        <v>0</v>
      </c>
      <c r="P26" s="280">
        <f>SUMIF(工资表明细!$G$3:$G$82,$B26,工资表明细!AB$3:AB$82)</f>
        <v>0</v>
      </c>
      <c r="Q26" s="280">
        <f>SUMIF(工资表明细!$G$3:$G$82,$B26,工资表明细!AC$3:AC$82)</f>
        <v>0</v>
      </c>
      <c r="R26" s="280">
        <f>SUMIF(工资表明细!$G$3:$G$82,$B26,工资表明细!AD$3:AD$82)</f>
        <v>0</v>
      </c>
      <c r="S26" s="280">
        <f>SUMIF(工资表明细!$G$3:$G$82,$B26,工资表明细!AE$3:AE$82)</f>
        <v>0</v>
      </c>
      <c r="T26" s="280">
        <f>SUMIF(工资表明细!$G$3:$G$82,$B26,工资表明细!AF$3:AF$82)</f>
        <v>214183.91</v>
      </c>
      <c r="U26" s="280">
        <f>SUMIF(工资表明细!$G$3:$G$82,$B26,工资表明细!AG$3:AG$82)</f>
        <v>0</v>
      </c>
      <c r="V26" s="280">
        <f>SUMIF(工资表明细!$G$3:$G$82,$B26,工资表明细!AH$3:AH$82)</f>
        <v>0</v>
      </c>
      <c r="W26" s="280">
        <f>SUMIF(工资表明细!$G$3:$G$82,$B26,工资表明细!AI$3:AI$82)</f>
        <v>0</v>
      </c>
      <c r="X26" s="280">
        <f>SUMIF(工资表明细!$G$3:$G$82,$B26,工资表明细!AJ$3:AJ$82)</f>
        <v>-1280</v>
      </c>
      <c r="Y26" s="280">
        <f>SUMIF(工资表明细!$G$3:$G$82,$B26,工资表明细!AK$3:AK$82)</f>
        <v>-1280</v>
      </c>
      <c r="Z26" s="280">
        <f>SUMIF(工资表明细!$G$3:$G$82,$B26,工资表明细!AL$3:AL$82)</f>
        <v>16211.76</v>
      </c>
      <c r="AA26" s="280">
        <f>SUMIF(工资表明细!$G$3:$G$82,$B26,工资表明细!AG$3:AG$82)</f>
        <v>0</v>
      </c>
      <c r="AB26" s="280">
        <f>SUMIF(工资表明细!$G$3:$G$82,$B26,工资表明细!AN$3:AN$82)</f>
        <v>428</v>
      </c>
      <c r="AC26" s="280">
        <f>SUMIF(工资表明细!$G$3:$G$82,$B26,工资表明细!AO$3:AO$82)</f>
        <v>16740</v>
      </c>
      <c r="AD26" s="280">
        <f>SUMIF(工资表明细!$G$3:$G$82,$B26,工资表明细!BE$3:BE$82)</f>
        <v>10523.6</v>
      </c>
      <c r="AE26" s="280">
        <f>SUMIF(工资表明细!$G$3:$G$82,$B26,工资表明细!BF$3:BF$82)</f>
        <v>167327.89</v>
      </c>
    </row>
    <row r="27" ht="24.75" customHeight="1" spans="1:31">
      <c r="A27" s="281" t="s">
        <v>39</v>
      </c>
      <c r="B27" s="282"/>
      <c r="C27" s="283">
        <f t="shared" ref="C27:AE27" si="1">SUM(C20:C26)</f>
        <v>78</v>
      </c>
      <c r="D27" s="284">
        <f t="shared" si="1"/>
        <v>1790300</v>
      </c>
      <c r="E27" s="284">
        <f t="shared" si="1"/>
        <v>0</v>
      </c>
      <c r="F27" s="284">
        <f t="shared" si="1"/>
        <v>0</v>
      </c>
      <c r="G27" s="284">
        <f t="shared" si="1"/>
        <v>0</v>
      </c>
      <c r="H27" s="284">
        <f t="shared" si="1"/>
        <v>0</v>
      </c>
      <c r="I27" s="284">
        <f t="shared" si="1"/>
        <v>49494.26</v>
      </c>
      <c r="J27" s="284">
        <f t="shared" si="1"/>
        <v>0</v>
      </c>
      <c r="K27" s="284">
        <f t="shared" si="1"/>
        <v>0</v>
      </c>
      <c r="L27" s="284">
        <f t="shared" si="1"/>
        <v>0</v>
      </c>
      <c r="M27" s="284">
        <f t="shared" si="1"/>
        <v>0</v>
      </c>
      <c r="N27" s="284">
        <f t="shared" si="1"/>
        <v>0</v>
      </c>
      <c r="O27" s="284">
        <f t="shared" si="1"/>
        <v>0</v>
      </c>
      <c r="P27" s="284">
        <f t="shared" si="1"/>
        <v>0</v>
      </c>
      <c r="Q27" s="284">
        <f t="shared" si="1"/>
        <v>0</v>
      </c>
      <c r="R27" s="284">
        <f t="shared" si="1"/>
        <v>800</v>
      </c>
      <c r="S27" s="284">
        <f t="shared" si="1"/>
        <v>800</v>
      </c>
      <c r="T27" s="284">
        <f t="shared" si="1"/>
        <v>1741605.74</v>
      </c>
      <c r="U27" s="284">
        <f t="shared" si="1"/>
        <v>0</v>
      </c>
      <c r="V27" s="284">
        <f t="shared" si="1"/>
        <v>0</v>
      </c>
      <c r="W27" s="284">
        <f t="shared" si="1"/>
        <v>0</v>
      </c>
      <c r="X27" s="284">
        <f t="shared" si="1"/>
        <v>-699.99</v>
      </c>
      <c r="Y27" s="284">
        <f t="shared" si="1"/>
        <v>-699.99</v>
      </c>
      <c r="Z27" s="284">
        <f t="shared" si="1"/>
        <v>119278.4</v>
      </c>
      <c r="AA27" s="284">
        <f t="shared" si="1"/>
        <v>0</v>
      </c>
      <c r="AB27" s="284">
        <f t="shared" si="1"/>
        <v>3371.42</v>
      </c>
      <c r="AC27" s="284">
        <f t="shared" si="1"/>
        <v>131083.1</v>
      </c>
      <c r="AD27" s="284">
        <f t="shared" si="1"/>
        <v>126995.41</v>
      </c>
      <c r="AE27" s="284">
        <f t="shared" si="1"/>
        <v>1329965.48</v>
      </c>
    </row>
    <row r="28" ht="39.95" customHeight="1" spans="1:31">
      <c r="K28" s="285"/>
    </row>
    <row r="29" ht="18" spans="1:31">
      <c r="A29" s="255" t="s">
        <v>57</v>
      </c>
      <c r="C29" s="286"/>
      <c r="D29" s="256"/>
      <c r="E29" s="256" t="s">
        <v>58</v>
      </c>
      <c r="G29" s="256"/>
      <c r="J29" s="256"/>
      <c r="K29" s="257" t="s">
        <v>59</v>
      </c>
      <c r="L29" s="256"/>
      <c r="N29" s="257"/>
      <c r="P29" s="257"/>
      <c r="Q29" s="257"/>
      <c r="T29" s="257" t="s">
        <v>60</v>
      </c>
      <c r="U29" s="257"/>
      <c r="W29" s="257"/>
      <c r="Y29" s="256"/>
      <c r="Z29" s="197" t="s">
        <v>61</v>
      </c>
      <c r="AA29" s="287"/>
      <c r="AC29" s="257" t="s">
        <v>61</v>
      </c>
      <c r="AD29" s="287"/>
      <c r="AE29" s="287"/>
    </row>
    <row r="43" spans="6:6">
      <c r="F43"/>
    </row>
    <row r="44" spans="6:6">
      <c r="F44"/>
    </row>
    <row r="45" spans="6:6">
      <c r="F45"/>
    </row>
    <row r="46" spans="6:6">
      <c r="F46"/>
    </row>
    <row r="47" spans="6:6">
      <c r="F47"/>
    </row>
    <row r="48" spans="6:6">
      <c r="F48"/>
    </row>
    <row r="49" spans="6:6">
      <c r="F49"/>
    </row>
    <row r="50" spans="6:6">
      <c r="F50"/>
    </row>
    <row r="51" spans="6:6">
      <c r="F51"/>
    </row>
    <row r="52" spans="6:6">
      <c r="F52"/>
    </row>
    <row r="53" spans="6:6">
      <c r="F53"/>
    </row>
    <row r="54" spans="6:6">
      <c r="F54"/>
    </row>
    <row r="55" spans="6:6">
      <c r="F55"/>
    </row>
    <row r="56" spans="6:6">
      <c r="F56"/>
    </row>
    <row r="57" spans="6:6">
      <c r="F57"/>
    </row>
    <row r="58" spans="6:6">
      <c r="F58"/>
    </row>
    <row r="59" spans="6:6">
      <c r="F59"/>
    </row>
  </sheetData>
  <mergeCells count="2">
    <mergeCell ref="A1:AE1"/>
    <mergeCell ref="A18:AE18"/>
  </mergeCells>
  <pageMargins left="0.0388888888888889" right="0.0388888888888889" top="1.57430555555556" bottom="0.747916666666667" header="0.314583333333333" footer="0.314583333333333"/>
  <pageSetup paperSize="9" scale="50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tabColor rgb="FF92D050"/>
    <pageSetUpPr fitToPage="1"/>
  </sheetPr>
  <dimension ref="A1:BN107"/>
  <sheetViews>
    <sheetView showGridLines="0" zoomScale="90" zoomScaleNormal="90" workbookViewId="0">
      <pane xSplit="8" ySplit="2" topLeftCell="I3" activePane="bottomRight" state="frozen"/>
      <selection/>
      <selection pane="topRight"/>
      <selection pane="bottomLeft"/>
      <selection pane="bottomRight" activeCell="P29" sqref="P29"/>
    </sheetView>
  </sheetViews>
  <sheetFormatPr defaultColWidth="9.14285714285714" defaultRowHeight="16.5"/>
  <cols>
    <col min="1" max="1" width="4.57142857142857" style="205" customWidth="1"/>
    <col min="2" max="2" width="17.5714285714286" style="206" customWidth="1"/>
    <col min="3" max="3" width="13.8571428571429" style="206" customWidth="1"/>
    <col min="4" max="4" width="13.1428571428571" style="206" customWidth="1"/>
    <col min="5" max="5" width="11" style="206" customWidth="1"/>
    <col min="6" max="6" width="14.5714285714286" style="206" customWidth="1"/>
    <col min="7" max="7" width="15.2857142857143" style="205" customWidth="1"/>
    <col min="8" max="8" width="13.4285714285714" style="207" customWidth="1"/>
    <col min="9" max="9" width="14.1428571428571" style="206" customWidth="1"/>
    <col min="10" max="10" width="14" style="206" customWidth="1"/>
    <col min="11" max="11" width="16" style="206" hidden="1" customWidth="1"/>
    <col min="12" max="12" width="8.85714285714286" style="205" hidden="1" customWidth="1"/>
    <col min="13" max="13" width="14" style="205" customWidth="1"/>
    <col min="14" max="14" width="25" style="206" hidden="1" customWidth="1"/>
    <col min="15" max="15" width="22.4285714285714" style="206" hidden="1" customWidth="1"/>
    <col min="16" max="16" width="14.7142857142857" style="206" customWidth="1"/>
    <col min="17" max="18" width="13.4285714285714" style="206" customWidth="1"/>
    <col min="19" max="41" width="14.7142857142857" style="206" customWidth="1"/>
    <col min="42" max="42" width="14" style="206" customWidth="1" outlineLevel="1"/>
    <col min="43" max="43" width="12.4285714285714" style="206" customWidth="1" outlineLevel="1"/>
    <col min="44" max="50" width="14.7142857142857" style="206" customWidth="1" outlineLevel="1"/>
    <col min="51" max="51" width="13.1428571428571" style="206" customWidth="1" outlineLevel="1"/>
    <col min="52" max="52" width="17.4285714285714" style="206" customWidth="1" outlineLevel="1"/>
    <col min="53" max="53" width="14.8571428571429" style="206" customWidth="1" outlineLevel="1"/>
    <col min="54" max="54" width="17.4285714285714" style="206" customWidth="1" outlineLevel="1"/>
    <col min="55" max="55" width="14.7142857142857" style="206" customWidth="1"/>
    <col min="56" max="56" width="11.7142857142857" style="206" customWidth="1"/>
    <col min="57" max="58" width="14.7142857142857" style="206" customWidth="1"/>
    <col min="59" max="59" width="4.14285714285714" style="206" customWidth="1"/>
    <col min="60" max="60" width="11.8571428571429" style="208" customWidth="1"/>
    <col min="61" max="61" width="12.4285714285714" style="209" customWidth="1"/>
    <col min="62" max="62" width="17.4285714285714" style="209" customWidth="1"/>
    <col min="63" max="66" width="9.14285714285714" style="182"/>
  </cols>
  <sheetData>
    <row r="1" customFormat="1" ht="33" customHeight="1" spans="1:66">
      <c r="A1" s="210" t="s">
        <v>52</v>
      </c>
      <c r="B1" s="210"/>
      <c r="C1" s="210"/>
      <c r="D1" s="210"/>
      <c r="E1" s="210"/>
      <c r="F1" s="210"/>
      <c r="G1" s="210"/>
      <c r="H1" s="210"/>
      <c r="I1" s="210"/>
      <c r="J1" s="210"/>
      <c r="K1" s="211"/>
      <c r="L1" s="211"/>
      <c r="M1" s="210"/>
      <c r="N1" s="211"/>
      <c r="O1" s="211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210"/>
      <c r="AK1" s="210"/>
      <c r="AL1" s="210"/>
      <c r="AM1" s="210"/>
      <c r="AN1" s="210"/>
      <c r="AO1" s="210"/>
      <c r="AP1" s="210"/>
      <c r="AQ1" s="210"/>
      <c r="AR1" s="210"/>
      <c r="AS1" s="210"/>
      <c r="AT1" s="210"/>
      <c r="AU1" s="210"/>
      <c r="AV1" s="210"/>
      <c r="AW1" s="210"/>
      <c r="AX1" s="210"/>
      <c r="AY1" s="210"/>
      <c r="AZ1" s="210"/>
      <c r="BA1" s="210"/>
      <c r="BB1" s="210"/>
      <c r="BC1" s="210"/>
      <c r="BD1" s="210"/>
      <c r="BE1" s="210"/>
      <c r="BF1" s="210"/>
      <c r="BG1" s="212"/>
      <c r="BH1" s="211"/>
      <c r="BI1" s="210"/>
      <c r="BJ1" s="209"/>
      <c r="BK1" s="182"/>
      <c r="BL1" s="182"/>
      <c r="BM1" s="182"/>
      <c r="BN1" s="182"/>
    </row>
    <row r="2" s="201" customFormat="1" ht="33" spans="1:66">
      <c r="A2" s="213" t="s">
        <v>70</v>
      </c>
      <c r="B2" s="214" t="s">
        <v>71</v>
      </c>
      <c r="C2" s="214" t="s">
        <v>72</v>
      </c>
      <c r="D2" s="214" t="s">
        <v>73</v>
      </c>
      <c r="E2" s="214" t="s">
        <v>74</v>
      </c>
      <c r="F2" s="214" t="s">
        <v>75</v>
      </c>
      <c r="G2" s="213" t="s">
        <v>62</v>
      </c>
      <c r="H2" s="214" t="s">
        <v>76</v>
      </c>
      <c r="I2" s="214" t="s">
        <v>77</v>
      </c>
      <c r="J2" s="214" t="s">
        <v>53</v>
      </c>
      <c r="K2" s="215" t="s">
        <v>78</v>
      </c>
      <c r="L2" s="216" t="s">
        <v>3</v>
      </c>
      <c r="M2" s="213" t="s">
        <v>54</v>
      </c>
      <c r="N2" s="217" t="s">
        <v>79</v>
      </c>
      <c r="O2" s="217" t="s">
        <v>80</v>
      </c>
      <c r="P2" s="214" t="s">
        <v>4</v>
      </c>
      <c r="Q2" s="214" t="s">
        <v>5</v>
      </c>
      <c r="R2" s="214" t="s">
        <v>6</v>
      </c>
      <c r="S2" s="214" t="s">
        <v>7</v>
      </c>
      <c r="T2" s="214" t="s">
        <v>8</v>
      </c>
      <c r="U2" s="214" t="s">
        <v>9</v>
      </c>
      <c r="V2" s="214" t="s">
        <v>10</v>
      </c>
      <c r="W2" s="214" t="s">
        <v>11</v>
      </c>
      <c r="X2" s="214" t="s">
        <v>12</v>
      </c>
      <c r="Y2" s="217" t="s">
        <v>13</v>
      </c>
      <c r="Z2" s="217" t="s">
        <v>14</v>
      </c>
      <c r="AA2" s="217" t="s">
        <v>15</v>
      </c>
      <c r="AB2" s="217" t="s">
        <v>16</v>
      </c>
      <c r="AC2" s="217" t="s">
        <v>81</v>
      </c>
      <c r="AD2" s="217" t="s">
        <v>18</v>
      </c>
      <c r="AE2" s="217" t="s">
        <v>19</v>
      </c>
      <c r="AF2" s="217" t="s">
        <v>20</v>
      </c>
      <c r="AG2" s="217" t="s">
        <v>21</v>
      </c>
      <c r="AH2" s="217" t="s">
        <v>22</v>
      </c>
      <c r="AI2" s="217" t="s">
        <v>23</v>
      </c>
      <c r="AJ2" s="217" t="s">
        <v>56</v>
      </c>
      <c r="AK2" s="217" t="s">
        <v>25</v>
      </c>
      <c r="AL2" s="217" t="s">
        <v>26</v>
      </c>
      <c r="AM2" s="217" t="s">
        <v>27</v>
      </c>
      <c r="AN2" s="217" t="s">
        <v>28</v>
      </c>
      <c r="AO2" s="217" t="s">
        <v>29</v>
      </c>
      <c r="AP2" s="218" t="s">
        <v>82</v>
      </c>
      <c r="AQ2" s="218" t="s">
        <v>83</v>
      </c>
      <c r="AR2" s="218" t="s">
        <v>84</v>
      </c>
      <c r="AS2" s="218" t="s">
        <v>85</v>
      </c>
      <c r="AT2" s="219" t="s">
        <v>86</v>
      </c>
      <c r="AU2" s="219" t="s">
        <v>87</v>
      </c>
      <c r="AV2" s="219" t="s">
        <v>88</v>
      </c>
      <c r="AW2" s="217" t="s">
        <v>89</v>
      </c>
      <c r="AX2" s="217" t="s">
        <v>90</v>
      </c>
      <c r="AY2" s="218" t="s">
        <v>91</v>
      </c>
      <c r="AZ2" s="217" t="s">
        <v>92</v>
      </c>
      <c r="BA2" s="218" t="s">
        <v>93</v>
      </c>
      <c r="BB2" s="217" t="s">
        <v>94</v>
      </c>
      <c r="BC2" s="217" t="s">
        <v>95</v>
      </c>
      <c r="BD2" s="217" t="s">
        <v>96</v>
      </c>
      <c r="BE2" s="217" t="s">
        <v>97</v>
      </c>
      <c r="BF2" s="217" t="s">
        <v>31</v>
      </c>
      <c r="BG2" s="220"/>
      <c r="BH2" s="170" t="s">
        <v>98</v>
      </c>
      <c r="BI2" s="221" t="s">
        <v>99</v>
      </c>
      <c r="BJ2" s="222" t="s">
        <v>100</v>
      </c>
      <c r="BK2" s="223"/>
      <c r="BL2" s="223"/>
      <c r="BM2" s="223"/>
      <c r="BN2" s="223"/>
    </row>
    <row r="3" s="202" customFormat="1" ht="15.75" customHeight="1" spans="1:66">
      <c r="A3" s="224">
        <f>ROW()-2</f>
        <v>1</v>
      </c>
      <c r="B3" s="225" t="s">
        <v>101</v>
      </c>
      <c r="C3" s="226" t="s">
        <v>102</v>
      </c>
      <c r="D3" s="226" t="s">
        <v>103</v>
      </c>
      <c r="E3" s="226" t="s">
        <v>104</v>
      </c>
      <c r="F3" s="226" t="s">
        <v>101</v>
      </c>
      <c r="G3" s="227" t="s">
        <v>67</v>
      </c>
      <c r="H3" s="228">
        <v>45880</v>
      </c>
      <c r="I3" s="229"/>
      <c r="J3" s="230" t="s">
        <v>38</v>
      </c>
      <c r="K3" s="226" t="s">
        <v>105</v>
      </c>
      <c r="L3" s="227">
        <v>1</v>
      </c>
      <c r="M3" s="227" t="s">
        <v>38</v>
      </c>
      <c r="N3" s="17" t="s">
        <v>106</v>
      </c>
      <c r="O3" s="344" t="s">
        <v>107</v>
      </c>
      <c r="P3" s="17">
        <v>50000</v>
      </c>
      <c r="Q3" s="17">
        <f>ROUND(SUMIF(其他补发!B:B,$C3,其他补发!D:D),2)</f>
        <v>0</v>
      </c>
      <c r="R3" s="17">
        <f>ROUND(SUMIF(其他补发!B:B,$C3,其他补发!H:H),2)</f>
        <v>0</v>
      </c>
      <c r="S3" s="17">
        <f>ROUND(SUMIF(其他补发!B:B,$C3,其他补发!I:I),2)</f>
        <v>0</v>
      </c>
      <c r="T3" s="17">
        <f>ROUND(SUMIF(其他补发!B:B,$C3,其他补发!E:E),2)</f>
        <v>0</v>
      </c>
      <c r="U3" s="17">
        <f>ROUND((VLOOKUP(C3,考勤!C:H,6,0)+VLOOKUP(C3,考勤!C:O,13,0)+VLOOKUP(C3,考勤!C:P,14,0)*0.3+VLOOKUP(C3,考勤!C:AA,25,0))*(P3+Q3+R3)/21.75,2)+ROUND((VLOOKUP(C3,考勤!C:V,19,0)+VLOOKUP(C3,考勤!C:V,20,0))*(P3+Q3+R3-2520)/21.75,2)</f>
        <v>0</v>
      </c>
      <c r="V3" s="17">
        <f>ROUND(SUMIF(动态表!C:C,C3,动态表!AA:AA)+SUMIFS(其他补发!L:L,其他补发!B:B,C3),2)</f>
        <v>0</v>
      </c>
      <c r="W3" s="17">
        <f>ROUND(VLOOKUP(C3,考勤!C:K,9,0)*P3/21.75/8*2+VLOOKUP(C3,考勤!C:L,10,0)*P3/21.75/8*3,2)+SUMIFS(加班费!$H:$H,加班费!$D:$D,$C3)</f>
        <v>0</v>
      </c>
      <c r="X3" s="17">
        <f>SUMIF(奖金!D:D,C3,奖金!F:F)</f>
        <v>0</v>
      </c>
      <c r="Y3" s="17">
        <f>SUMIF(其他补发!B:B,C3,其他补发!J:J)</f>
        <v>0</v>
      </c>
      <c r="Z3" s="17">
        <f>SUMIF(其他补发!B:B,C3,其他补发!F:F)</f>
        <v>0</v>
      </c>
      <c r="AA3" s="17">
        <f>SUMIF(其他补发!B:B,C3,其他补发!G:G)</f>
        <v>0</v>
      </c>
      <c r="AB3" s="17">
        <f>SUMIF(其他补发!B:B,C3,其他补发!M:M)</f>
        <v>0</v>
      </c>
      <c r="AC3" s="17">
        <f>SUMIF(其他补发!B:B,C3,其他补发!N:N)</f>
        <v>0</v>
      </c>
      <c r="AD3" s="17">
        <f>SUMIF(其他补发!B:B,C3,其他补发!K:K)</f>
        <v>0</v>
      </c>
      <c r="AE3" s="17">
        <f t="shared" ref="AE3:AE66" si="0">AD3+AC3+AB3+AA3+Z3+Y3+X3+W3</f>
        <v>0</v>
      </c>
      <c r="AF3" s="17">
        <f t="shared" ref="AF3:AF66" si="1">ROUND((P3+Q3+R3+S3+T3-U3-V3+AE3),2)</f>
        <v>50000</v>
      </c>
      <c r="AG3" s="17">
        <f>SUMIF(税后扣款!B:B,C3,税后扣款!E:E)</f>
        <v>0</v>
      </c>
      <c r="AH3" s="17">
        <f>SUMIF(房租水电!A:A,C3,房租水电!C:C)</f>
        <v>0</v>
      </c>
      <c r="AI3" s="17">
        <f>SUMIF(房租水电!A:A,C3,房租水电!D:D)</f>
        <v>0</v>
      </c>
      <c r="AJ3" s="17">
        <f>SUMIF(税后扣款!B:B,C3,税后扣款!D:D)</f>
        <v>-240</v>
      </c>
      <c r="AK3" s="17">
        <f t="shared" ref="AK3:AK66" si="2">AJ3+AI3+AH3+AG3</f>
        <v>-240</v>
      </c>
      <c r="AL3" s="17">
        <f>SUMIF(社会保险!D:D,N3,社会保险!I:I)</f>
        <v>2203.92</v>
      </c>
      <c r="AM3" s="17">
        <f>SUMIF(社会保险!D:D,N3,社会保险!J:J)</f>
        <v>672.66</v>
      </c>
      <c r="AN3" s="17">
        <f>SUMIF(社会保险!D:D,N3,社会保险!K:K)</f>
        <v>96.94</v>
      </c>
      <c r="AO3" s="17">
        <f>SUMIF(公积金!C:C,N3,公积金!L:L)</f>
        <v>5311.8</v>
      </c>
      <c r="AP3" s="17">
        <f>SUMIF(专项扣除!$B:$B,$C3,专项扣除!D:D)</f>
        <v>0</v>
      </c>
      <c r="AQ3" s="17">
        <f>SUMIF(专项扣除!$B:$B,$C3,专项扣除!E:E)</f>
        <v>0</v>
      </c>
      <c r="AR3" s="17">
        <f>SUMIF(专项扣除!$B:$B,$C3,专项扣除!F:F)</f>
        <v>0</v>
      </c>
      <c r="AS3" s="17">
        <f>SUMIF(专项扣除!$B:$B,$C3,专项扣除!G:G)</f>
        <v>0</v>
      </c>
      <c r="AT3" s="17">
        <f>SUMIF(专项扣除!$B:$B,$C3,专项扣除!H:H)</f>
        <v>0</v>
      </c>
      <c r="AU3" s="17">
        <f>SUMIF(专项扣除!$B:$B,$C3,专项扣除!I:I)</f>
        <v>0</v>
      </c>
      <c r="AV3" s="17">
        <f>SUMIF(专项扣除!$B:$B,$C3,专项扣除!J:J)</f>
        <v>0</v>
      </c>
      <c r="AW3" s="17">
        <v>5000</v>
      </c>
      <c r="AX3" s="17">
        <f t="shared" ref="AX3:AX66" si="3">AL3+AM3+AN3+AO3+AW3</f>
        <v>13285.32</v>
      </c>
      <c r="AY3" s="17">
        <f>SUMIF(上月累计工资累计社保和公积金!C:C,C3,上月累计工资累计社保和公积金!E:E)</f>
        <v>350500</v>
      </c>
      <c r="AZ3" s="17">
        <f t="shared" ref="AZ3:AZ66" si="4">IF(E3="实习人员",(AY3+AF3)*80%,AY3+AF3)</f>
        <v>400500</v>
      </c>
      <c r="BA3" s="17">
        <f>SUMIF(上月累计工资累计社保和公积金!C:C,C3,上月累计工资累计社保和公积金!K:K)</f>
        <v>74347.73</v>
      </c>
      <c r="BB3" s="17">
        <f t="shared" ref="BB3:BB66" si="5">BA3+AX3</f>
        <v>87633.05</v>
      </c>
      <c r="BC3" s="17">
        <f>ROUND(MAX((AZ3-BB3-AP3-AQ3-AR3-AS3-AT3-AU3-AV3)*0.01*{3,10,20,25,30,35,45}-{0,2520,16920,31920,52920,85920,181920},0),2)</f>
        <v>46296.74</v>
      </c>
      <c r="BD3" s="17">
        <f>SUMIF(上月累计工资累计社保和公积金!C:C,C3,上月累计工资累计社保和公积金!L:L)</f>
        <v>38310.45</v>
      </c>
      <c r="BE3" s="17">
        <f t="shared" ref="BE3:BE66" si="6">IF((BC3-BD3)&lt;0,0,((BC3-BD3)))</f>
        <v>7986.29</v>
      </c>
      <c r="BF3" s="17">
        <f t="shared" ref="BF3:BF66" si="7">ROUND((AF3-AK3-BE3-AL3-AM3-AN3-AO3),2)</f>
        <v>33968.39</v>
      </c>
      <c r="BG3" s="231"/>
      <c r="BH3" s="232" t="str">
        <f>VLOOKUP(C3,考勤!C:AL,36,0)</f>
        <v>liudan@youdoogo.com</v>
      </c>
      <c r="BI3" s="233">
        <f t="shared" ref="BI3:BI66" si="8">P3+Q3+R3+S3+T3-U3-V3+W3+X3+Y3+Z3+AA3+AB3+AC3+AD3-AG3-AH3-AI3-AJ3-AL3-AM3-AN3-AO3-BE3-BF3</f>
        <v>0</v>
      </c>
      <c r="BJ3" s="234"/>
      <c r="BK3" s="235"/>
      <c r="BL3" s="235"/>
      <c r="BM3" s="235"/>
      <c r="BN3" s="235"/>
    </row>
    <row r="4" s="202" customFormat="1" ht="15.75" customHeight="1" spans="1:66">
      <c r="A4" s="224">
        <f t="shared" ref="A4:A80" si="9">ROW()-2</f>
        <v>2</v>
      </c>
      <c r="B4" s="225" t="s">
        <v>101</v>
      </c>
      <c r="C4" s="226" t="s">
        <v>108</v>
      </c>
      <c r="D4" s="226" t="s">
        <v>109</v>
      </c>
      <c r="E4" s="226" t="s">
        <v>104</v>
      </c>
      <c r="F4" s="226" t="s">
        <v>101</v>
      </c>
      <c r="G4" s="227" t="s">
        <v>68</v>
      </c>
      <c r="H4" s="228">
        <v>45880</v>
      </c>
      <c r="I4" s="229"/>
      <c r="J4" s="230" t="s">
        <v>38</v>
      </c>
      <c r="K4" s="226" t="s">
        <v>110</v>
      </c>
      <c r="L4" s="227">
        <v>1</v>
      </c>
      <c r="M4" s="227" t="s">
        <v>38</v>
      </c>
      <c r="N4" s="17" t="s">
        <v>111</v>
      </c>
      <c r="O4" s="17" t="s">
        <v>112</v>
      </c>
      <c r="P4" s="17">
        <v>16000</v>
      </c>
      <c r="Q4" s="17">
        <f>ROUND(SUMIF(其他补发!B:B,$C4,其他补发!D:D),2)</f>
        <v>0</v>
      </c>
      <c r="R4" s="17">
        <f>ROUND(SUMIF(其他补发!B:B,$C4,其他补发!H:H),2)</f>
        <v>0</v>
      </c>
      <c r="S4" s="17">
        <f>ROUND(SUMIF(其他补发!B:B,$C4,其他补发!I:I),2)</f>
        <v>0</v>
      </c>
      <c r="T4" s="17">
        <f>ROUND(SUMIF(其他补发!B:B,$C4,其他补发!E:E),2)</f>
        <v>0</v>
      </c>
      <c r="U4" s="17">
        <f>ROUND((VLOOKUP(C4,考勤!C:H,6,0)+VLOOKUP(C4,考勤!C:O,13,0)+VLOOKUP(C4,考勤!C:P,14,0)*0.3+VLOOKUP(C4,考勤!C:AA,25,0))*(P4+Q4+R4)/21.75,2)+ROUND((VLOOKUP(C4,考勤!C:V,19,0)+VLOOKUP(C4,考勤!C:V,20,0))*(P4+Q4+R4-2520)/21.75,2)</f>
        <v>0</v>
      </c>
      <c r="V4" s="17">
        <f>ROUND(SUMIF(动态表!C:C,C4,动态表!AA:AA)+SUMIFS(其他补发!L:L,其他补发!B:B,C4),2)</f>
        <v>0</v>
      </c>
      <c r="W4" s="17">
        <f>ROUND(VLOOKUP(C4,考勤!C:K,9,0)*P4/21.75/8*2+VLOOKUP(C4,考勤!C:L,10,0)*P4/21.75/8*3,2)+SUMIFS(加班费!$H:$H,加班费!$D:$D,$C4)</f>
        <v>0</v>
      </c>
      <c r="X4" s="17">
        <f>SUMIF(奖金!D:D,C4,奖金!F:F)</f>
        <v>0</v>
      </c>
      <c r="Y4" s="17">
        <f>SUMIF(其他补发!B:B,C4,其他补发!J:J)</f>
        <v>0</v>
      </c>
      <c r="Z4" s="17">
        <f>SUMIF(其他补发!B:B,C4,其他补发!F:F)</f>
        <v>0</v>
      </c>
      <c r="AA4" s="17">
        <f>SUMIF(其他补发!B:B,C4,其他补发!G:G)</f>
        <v>0</v>
      </c>
      <c r="AB4" s="17">
        <f>SUMIF(其他补发!B:B,C4,其他补发!M:M)</f>
        <v>0</v>
      </c>
      <c r="AC4" s="17">
        <f>SUMIF(其他补发!B:B,C4,其他补发!N:N)</f>
        <v>0</v>
      </c>
      <c r="AD4" s="17">
        <f>SUMIF(其他补发!B:B,C4,其他补发!K:K)</f>
        <v>0</v>
      </c>
      <c r="AE4" s="17">
        <f t="shared" si="0"/>
        <v>0</v>
      </c>
      <c r="AF4" s="17">
        <f t="shared" si="1"/>
        <v>16000</v>
      </c>
      <c r="AG4" s="17">
        <f>SUMIF(税后扣款!B:B,C4,税后扣款!E:E)</f>
        <v>0</v>
      </c>
      <c r="AH4" s="17">
        <f>SUMIF(房租水电!A:A,C4,房租水电!C:C)</f>
        <v>0</v>
      </c>
      <c r="AI4" s="17">
        <f>SUMIF(房租水电!A:A,C4,房租水电!D:D)</f>
        <v>0</v>
      </c>
      <c r="AJ4" s="17">
        <f>SUMIF(税后扣款!B:B,C4,税后扣款!D:D)</f>
        <v>-240</v>
      </c>
      <c r="AK4" s="17">
        <f t="shared" si="2"/>
        <v>-240</v>
      </c>
      <c r="AL4" s="17">
        <f>SUMIF(社会保险!D:D,N4,社会保险!I:I)</f>
        <v>1280</v>
      </c>
      <c r="AM4" s="17">
        <f>SUMIF(社会保险!D:D,N4,社会保险!J:J)</f>
        <v>320</v>
      </c>
      <c r="AN4" s="17">
        <f>SUMIF(社会保险!D:D,N4,社会保险!K:K)</f>
        <v>32</v>
      </c>
      <c r="AO4" s="17">
        <f>SUMIF(公积金!C:C,N4,公积金!L:L)</f>
        <v>1680</v>
      </c>
      <c r="AP4" s="17">
        <f>SUMIF(专项扣除!$B:$B,$C4,专项扣除!D:D)</f>
        <v>0</v>
      </c>
      <c r="AQ4" s="17">
        <f>SUMIF(专项扣除!$B:$B,$C4,专项扣除!E:E)</f>
        <v>0</v>
      </c>
      <c r="AR4" s="17">
        <f>SUMIF(专项扣除!$B:$B,$C4,专项扣除!F:F)</f>
        <v>0</v>
      </c>
      <c r="AS4" s="17">
        <f>SUMIF(专项扣除!$B:$B,$C4,专项扣除!G:G)</f>
        <v>10500</v>
      </c>
      <c r="AT4" s="17">
        <f>SUMIF(专项扣除!$B:$B,$C4,专项扣除!H:H)</f>
        <v>0</v>
      </c>
      <c r="AU4" s="17">
        <f>SUMIF(专项扣除!$B:$B,$C4,专项扣除!I:I)</f>
        <v>0</v>
      </c>
      <c r="AV4" s="17">
        <f>SUMIF(专项扣除!$B:$B,$C4,专项扣除!J:J)</f>
        <v>0</v>
      </c>
      <c r="AW4" s="17">
        <v>5000</v>
      </c>
      <c r="AX4" s="17">
        <f t="shared" si="3"/>
        <v>8312</v>
      </c>
      <c r="AY4" s="17">
        <f>SUMIF(上月累计工资累计社保和公积金!C:C,C4,上月累计工资累计社保和公积金!E:E)</f>
        <v>104300</v>
      </c>
      <c r="AZ4" s="17">
        <f t="shared" si="4"/>
        <v>120300</v>
      </c>
      <c r="BA4" s="17">
        <f>SUMIF(上月累计工资累计社保和公积金!C:C,C4,上月累计工资累计社保和公积金!K:K)</f>
        <v>51488</v>
      </c>
      <c r="BB4" s="17">
        <f t="shared" si="5"/>
        <v>59800</v>
      </c>
      <c r="BC4" s="17">
        <f>ROUND(MAX((AZ4-BB4-AP4-AQ4-AR4-AS4-AT4-AU4-AV4)*0.01*{3,10,20,25,30,35,45}-{0,2520,16920,31920,52920,85920,181920},0),2)</f>
        <v>2480</v>
      </c>
      <c r="BD4" s="17">
        <f>SUMIF(上月累计工资累计社保和公积金!C:C,C4,上月累计工资累计社保和公积金!L:L)</f>
        <v>1711.2</v>
      </c>
      <c r="BE4" s="17">
        <f t="shared" si="6"/>
        <v>768.8</v>
      </c>
      <c r="BF4" s="17">
        <f t="shared" si="7"/>
        <v>12159.2</v>
      </c>
      <c r="BG4" s="231"/>
      <c r="BH4" s="232" t="str">
        <f>VLOOKUP(C4,考勤!C:AL,36,0)</f>
        <v>liyijia@youdoogo.com</v>
      </c>
      <c r="BI4" s="233">
        <f t="shared" si="8"/>
        <v>0</v>
      </c>
      <c r="BJ4" s="234"/>
      <c r="BK4" s="235"/>
      <c r="BL4" s="235"/>
      <c r="BM4" s="235"/>
      <c r="BN4" s="235"/>
    </row>
    <row r="5" s="202" customFormat="1" ht="15.75" customHeight="1" spans="1:66">
      <c r="A5" s="224">
        <f t="shared" si="9"/>
        <v>3</v>
      </c>
      <c r="B5" s="225" t="s">
        <v>101</v>
      </c>
      <c r="C5" s="226" t="s">
        <v>113</v>
      </c>
      <c r="D5" s="226" t="s">
        <v>114</v>
      </c>
      <c r="E5" s="226" t="s">
        <v>104</v>
      </c>
      <c r="F5" s="226" t="s">
        <v>101</v>
      </c>
      <c r="G5" s="227" t="s">
        <v>67</v>
      </c>
      <c r="H5" s="228">
        <v>45880</v>
      </c>
      <c r="I5" s="229"/>
      <c r="J5" s="230" t="s">
        <v>38</v>
      </c>
      <c r="K5" s="226" t="s">
        <v>115</v>
      </c>
      <c r="L5" s="227">
        <v>1</v>
      </c>
      <c r="M5" s="227" t="s">
        <v>38</v>
      </c>
      <c r="N5" s="17" t="s">
        <v>116</v>
      </c>
      <c r="O5" s="17" t="s">
        <v>117</v>
      </c>
      <c r="P5" s="17">
        <v>50000</v>
      </c>
      <c r="Q5" s="17">
        <f>ROUND(SUMIF(其他补发!B:B,$C5,其他补发!D:D),2)</f>
        <v>0</v>
      </c>
      <c r="R5" s="17">
        <f>ROUND(SUMIF(其他补发!B:B,$C5,其他补发!H:H),2)</f>
        <v>0</v>
      </c>
      <c r="S5" s="17">
        <f>ROUND(SUMIF(其他补发!B:B,$C5,其他补发!I:I),2)</f>
        <v>0</v>
      </c>
      <c r="T5" s="17">
        <f>ROUND(SUMIF(其他补发!B:B,$C5,其他补发!E:E),2)</f>
        <v>0</v>
      </c>
      <c r="U5" s="17">
        <f>ROUND((VLOOKUP(C5,考勤!C:H,6,0)+VLOOKUP(C5,考勤!C:O,13,0)+VLOOKUP(C5,考勤!C:P,14,0)*0.3+VLOOKUP(C5,考勤!C:AA,25,0))*(P5+Q5+R5)/21.75,2)+ROUND((VLOOKUP(C5,考勤!C:V,19,0)+VLOOKUP(C5,考勤!C:V,20,0))*(P5+Q5+R5-2520)/21.75,2)</f>
        <v>0</v>
      </c>
      <c r="V5" s="17">
        <f>ROUND(SUMIF(动态表!C:C,C5,动态表!AA:AA)+SUMIFS(其他补发!L:L,其他补发!B:B,C5),2)</f>
        <v>0</v>
      </c>
      <c r="W5" s="17">
        <f>ROUND(VLOOKUP(C5,考勤!C:K,9,0)*P5/21.75/8*2+VLOOKUP(C5,考勤!C:L,10,0)*P5/21.75/8*3,2)+SUMIFS(加班费!$H:$H,加班费!$D:$D,$C5)</f>
        <v>0</v>
      </c>
      <c r="X5" s="17">
        <f>SUMIF(奖金!D:D,C5,奖金!F:F)</f>
        <v>0</v>
      </c>
      <c r="Y5" s="17">
        <f>SUMIF(其他补发!B:B,C5,其他补发!J:J)</f>
        <v>0</v>
      </c>
      <c r="Z5" s="17">
        <f>SUMIF(其他补发!B:B,C5,其他补发!F:F)</f>
        <v>0</v>
      </c>
      <c r="AA5" s="17">
        <f>SUMIF(其他补发!B:B,C5,其他补发!G:G)</f>
        <v>0</v>
      </c>
      <c r="AB5" s="17">
        <f>SUMIF(其他补发!B:B,C5,其他补发!M:M)</f>
        <v>0</v>
      </c>
      <c r="AC5" s="17">
        <f>SUMIF(其他补发!B:B,C5,其他补发!N:N)</f>
        <v>0</v>
      </c>
      <c r="AD5" s="17">
        <f>SUMIF(其他补发!B:B,C5,其他补发!K:K)</f>
        <v>0</v>
      </c>
      <c r="AE5" s="17">
        <f t="shared" si="0"/>
        <v>0</v>
      </c>
      <c r="AF5" s="17">
        <f t="shared" si="1"/>
        <v>50000</v>
      </c>
      <c r="AG5" s="17">
        <f>SUMIF(税后扣款!B:B,C5,税后扣款!E:E)</f>
        <v>0</v>
      </c>
      <c r="AH5" s="17">
        <f>SUMIF(房租水电!A:A,C5,房租水电!C:C)</f>
        <v>0</v>
      </c>
      <c r="AI5" s="17">
        <f>SUMIF(房租水电!A:A,C5,房租水电!D:D)</f>
        <v>0</v>
      </c>
      <c r="AJ5" s="17">
        <f>SUMIF(税后扣款!B:B,C5,税后扣款!D:D)</f>
        <v>-240</v>
      </c>
      <c r="AK5" s="17">
        <f t="shared" si="2"/>
        <v>-240</v>
      </c>
      <c r="AL5" s="17">
        <f>SUMIF(社会保险!D:D,N5,社会保险!I:I)</f>
        <v>2203.92</v>
      </c>
      <c r="AM5" s="17">
        <f>SUMIF(社会保险!D:D,N5,社会保险!J:J)</f>
        <v>672.66</v>
      </c>
      <c r="AN5" s="17">
        <f>SUMIF(社会保险!D:D,N5,社会保险!K:K)</f>
        <v>96.94</v>
      </c>
      <c r="AO5" s="17">
        <f>SUMIF(公积金!C:C,N5,公积金!L:L)</f>
        <v>5311.8</v>
      </c>
      <c r="AP5" s="17">
        <f>SUMIF(专项扣除!$B:$B,$C5,专项扣除!D:D)</f>
        <v>0</v>
      </c>
      <c r="AQ5" s="17">
        <f>SUMIF(专项扣除!$B:$B,$C5,专项扣除!E:E)</f>
        <v>0</v>
      </c>
      <c r="AR5" s="17">
        <f>SUMIF(专项扣除!$B:$B,$C5,专项扣除!F:F)</f>
        <v>0</v>
      </c>
      <c r="AS5" s="17">
        <f>SUMIF(专项扣除!$B:$B,$C5,专项扣除!G:G)</f>
        <v>0</v>
      </c>
      <c r="AT5" s="17">
        <f>SUMIF(专项扣除!$B:$B,$C5,专项扣除!H:H)</f>
        <v>0</v>
      </c>
      <c r="AU5" s="17">
        <f>SUMIF(专项扣除!$B:$B,$C5,专项扣除!I:I)</f>
        <v>0</v>
      </c>
      <c r="AV5" s="17">
        <f>SUMIF(专项扣除!$B:$B,$C5,专项扣除!J:J)</f>
        <v>0</v>
      </c>
      <c r="AW5" s="17">
        <v>5000</v>
      </c>
      <c r="AX5" s="17">
        <f t="shared" si="3"/>
        <v>13285.32</v>
      </c>
      <c r="AY5" s="17">
        <f>SUMIF(上月累计工资累计社保和公积金!C:C,C5,上月累计工资累计社保和公积金!E:E)</f>
        <v>349150.57</v>
      </c>
      <c r="AZ5" s="17">
        <f t="shared" si="4"/>
        <v>399150.57</v>
      </c>
      <c r="BA5" s="17">
        <f>SUMIF(上月累计工资累计社保和公积金!C:C,C5,上月累计工资累计社保和公积金!K:K)</f>
        <v>74347.73</v>
      </c>
      <c r="BB5" s="17">
        <f t="shared" si="5"/>
        <v>87633.05</v>
      </c>
      <c r="BC5" s="17">
        <f>ROUND(MAX((AZ5-BB5-AP5-AQ5-AR5-AS5-AT5-AU5-AV5)*0.01*{3,10,20,25,30,35,45}-{0,2520,16920,31920,52920,85920,181920},0),2)</f>
        <v>45959.38</v>
      </c>
      <c r="BD5" s="17">
        <f>SUMIF(上月累计工资累计社保和公积金!C:C,C5,上月累计工资累计社保和公积金!L:L)</f>
        <v>38040.57</v>
      </c>
      <c r="BE5" s="17">
        <f t="shared" si="6"/>
        <v>7918.81</v>
      </c>
      <c r="BF5" s="17">
        <f t="shared" si="7"/>
        <v>34035.87</v>
      </c>
      <c r="BG5" s="231"/>
      <c r="BH5" s="232" t="str">
        <f>VLOOKUP(C5,考勤!C:AL,36,0)</f>
        <v>~@.com</v>
      </c>
      <c r="BI5" s="233">
        <f t="shared" si="8"/>
        <v>0</v>
      </c>
      <c r="BJ5" s="234"/>
      <c r="BK5" s="235"/>
      <c r="BL5" s="235"/>
      <c r="BM5" s="235"/>
      <c r="BN5" s="235"/>
    </row>
    <row r="6" s="202" customFormat="1" ht="15.75" customHeight="1" spans="1:66">
      <c r="A6" s="224">
        <f t="shared" si="9"/>
        <v>4</v>
      </c>
      <c r="B6" s="225" t="s">
        <v>101</v>
      </c>
      <c r="C6" s="226" t="s">
        <v>118</v>
      </c>
      <c r="D6" s="226" t="s">
        <v>119</v>
      </c>
      <c r="E6" s="226" t="s">
        <v>104</v>
      </c>
      <c r="F6" s="226" t="s">
        <v>101</v>
      </c>
      <c r="G6" s="227" t="s">
        <v>67</v>
      </c>
      <c r="H6" s="228">
        <v>45880</v>
      </c>
      <c r="I6" s="229"/>
      <c r="J6" s="230" t="s">
        <v>38</v>
      </c>
      <c r="K6" s="226" t="s">
        <v>120</v>
      </c>
      <c r="L6" s="227">
        <v>1</v>
      </c>
      <c r="M6" s="227" t="s">
        <v>38</v>
      </c>
      <c r="N6" s="17" t="s">
        <v>121</v>
      </c>
      <c r="O6" s="17" t="s">
        <v>122</v>
      </c>
      <c r="P6" s="17">
        <v>48000</v>
      </c>
      <c r="Q6" s="17">
        <f>ROUND(SUMIF(其他补发!B:B,$C6,其他补发!D:D),2)</f>
        <v>0</v>
      </c>
      <c r="R6" s="17">
        <f>ROUND(SUMIF(其他补发!B:B,$C6,其他补发!H:H),2)</f>
        <v>0</v>
      </c>
      <c r="S6" s="17">
        <f>ROUND(SUMIF(其他补发!B:B,$C6,其他补发!I:I),2)</f>
        <v>0</v>
      </c>
      <c r="T6" s="17">
        <f>ROUND(SUMIF(其他补发!B:B,$C6,其他补发!E:E),2)</f>
        <v>0</v>
      </c>
      <c r="U6" s="17">
        <f>ROUND((VLOOKUP(C6,考勤!C:H,6,0)+VLOOKUP(C6,考勤!C:O,13,0)+VLOOKUP(C6,考勤!C:P,14,0)*0.3+VLOOKUP(C6,考勤!C:AA,25,0))*(P6+Q6+R6)/21.75,2)+ROUND((VLOOKUP(C6,考勤!C:V,19,0)+VLOOKUP(C6,考勤!C:V,20,0))*(P6+Q6+R6-2520)/21.75,2)</f>
        <v>0</v>
      </c>
      <c r="V6" s="17">
        <f>ROUND(SUMIF(动态表!C:C,C6,动态表!AA:AA)+SUMIFS(其他补发!L:L,其他补发!B:B,C6),2)</f>
        <v>0</v>
      </c>
      <c r="W6" s="17">
        <f>ROUND(VLOOKUP(C6,考勤!C:K,9,0)*P6/21.75/8*2+VLOOKUP(C6,考勤!C:L,10,0)*P6/21.75/8*3,2)+SUMIFS(加班费!$H:$H,加班费!$D:$D,$C6)</f>
        <v>0</v>
      </c>
      <c r="X6" s="17">
        <f>SUMIF(奖金!D:D,C6,奖金!F:F)</f>
        <v>0</v>
      </c>
      <c r="Y6" s="17">
        <f>SUMIF(其他补发!B:B,C6,其他补发!J:J)</f>
        <v>0</v>
      </c>
      <c r="Z6" s="17">
        <f>SUMIF(其他补发!B:B,C6,其他补发!F:F)</f>
        <v>0</v>
      </c>
      <c r="AA6" s="17">
        <f>SUMIF(其他补发!B:B,C6,其他补发!G:G)</f>
        <v>0</v>
      </c>
      <c r="AB6" s="17">
        <f>SUMIF(其他补发!B:B,C6,其他补发!M:M)</f>
        <v>0</v>
      </c>
      <c r="AC6" s="17">
        <f>SUMIF(其他补发!B:B,C6,其他补发!N:N)</f>
        <v>0</v>
      </c>
      <c r="AD6" s="17">
        <f>SUMIF(其他补发!B:B,C6,其他补发!K:K)</f>
        <v>0</v>
      </c>
      <c r="AE6" s="17">
        <f t="shared" si="0"/>
        <v>0</v>
      </c>
      <c r="AF6" s="17">
        <f t="shared" si="1"/>
        <v>48000</v>
      </c>
      <c r="AG6" s="17">
        <f>SUMIF(税后扣款!B:B,C6,税后扣款!E:E)</f>
        <v>0</v>
      </c>
      <c r="AH6" s="17">
        <f>SUMIF(房租水电!A:A,C6,房租水电!C:C)</f>
        <v>0</v>
      </c>
      <c r="AI6" s="17">
        <f>SUMIF(房租水电!A:A,C6,房租水电!D:D)</f>
        <v>0</v>
      </c>
      <c r="AJ6" s="17">
        <f>SUMIF(税后扣款!B:B,C6,税后扣款!D:D)</f>
        <v>-240</v>
      </c>
      <c r="AK6" s="17">
        <f t="shared" si="2"/>
        <v>-240</v>
      </c>
      <c r="AL6" s="17">
        <f>SUMIF(社会保险!D:D,N6,社会保险!I:I)</f>
        <v>2203.92</v>
      </c>
      <c r="AM6" s="17">
        <f>SUMIF(社会保险!D:D,N6,社会保险!J:J)</f>
        <v>672.66</v>
      </c>
      <c r="AN6" s="17">
        <f>SUMIF(社会保险!D:D,N6,社会保险!K:K)</f>
        <v>96</v>
      </c>
      <c r="AO6" s="17">
        <f>SUMIF(公积金!C:C,N6,公积金!L:L)</f>
        <v>2655.9</v>
      </c>
      <c r="AP6" s="17">
        <f>SUMIF(专项扣除!$B:$B,$C6,专项扣除!D:D)</f>
        <v>0</v>
      </c>
      <c r="AQ6" s="17">
        <f>SUMIF(专项扣除!$B:$B,$C6,专项扣除!E:E)</f>
        <v>0</v>
      </c>
      <c r="AR6" s="17">
        <f>SUMIF(专项扣除!$B:$B,$C6,专项扣除!F:F)</f>
        <v>0</v>
      </c>
      <c r="AS6" s="17">
        <f>SUMIF(专项扣除!$B:$B,$C6,专项扣除!G:G)</f>
        <v>0</v>
      </c>
      <c r="AT6" s="17">
        <f>SUMIF(专项扣除!$B:$B,$C6,专项扣除!H:H)</f>
        <v>0</v>
      </c>
      <c r="AU6" s="17">
        <f>SUMIF(专项扣除!$B:$B,$C6,专项扣除!I:I)</f>
        <v>0</v>
      </c>
      <c r="AV6" s="17">
        <f>SUMIF(专项扣除!$B:$B,$C6,专项扣除!J:J)</f>
        <v>0</v>
      </c>
      <c r="AW6" s="17">
        <v>5000</v>
      </c>
      <c r="AX6" s="17">
        <f t="shared" si="3"/>
        <v>10628.48</v>
      </c>
      <c r="AY6" s="17">
        <f>SUMIF(上月累计工资累计社保和公积金!C:C,C6,上月累计工资累计社保和公积金!E:E)</f>
        <v>336500</v>
      </c>
      <c r="AZ6" s="17">
        <f t="shared" si="4"/>
        <v>384500</v>
      </c>
      <c r="BA6" s="17">
        <f>SUMIF(上月累计工资累计社保和公积金!C:C,C6,上月累计工资累计社保和公积金!K:K)</f>
        <v>74347.73</v>
      </c>
      <c r="BB6" s="17">
        <f t="shared" si="5"/>
        <v>84976.21</v>
      </c>
      <c r="BC6" s="17">
        <f>ROUND(MAX((AZ6-BB6-AP6-AQ6-AR6-AS6-AT6-AU6-AV6)*0.01*{3,10,20,25,30,35,45}-{0,2520,16920,31920,52920,85920,181920},0),2)</f>
        <v>42984.76</v>
      </c>
      <c r="BD6" s="17">
        <f>SUMIF(上月累计工资累计社保和公积金!C:C,C6,上月累计工资累计社保和公积金!L:L)</f>
        <v>35510.45</v>
      </c>
      <c r="BE6" s="17">
        <f t="shared" si="6"/>
        <v>7474.31</v>
      </c>
      <c r="BF6" s="17">
        <f t="shared" si="7"/>
        <v>35137.21</v>
      </c>
      <c r="BG6" s="231"/>
      <c r="BH6" s="232" t="str">
        <f>VLOOKUP(C6,考勤!C:AL,36,0)</f>
        <v>yangxiaobo@youdoogo.com</v>
      </c>
      <c r="BI6" s="233">
        <f t="shared" si="8"/>
        <v>0</v>
      </c>
      <c r="BJ6" s="234"/>
      <c r="BK6" s="235"/>
      <c r="BL6" s="235"/>
      <c r="BM6" s="235"/>
      <c r="BN6" s="235"/>
    </row>
    <row r="7" s="202" customFormat="1" ht="15.75" customHeight="1" spans="1:66">
      <c r="A7" s="224">
        <f t="shared" si="9"/>
        <v>5</v>
      </c>
      <c r="B7" s="225" t="s">
        <v>101</v>
      </c>
      <c r="C7" s="226" t="s">
        <v>123</v>
      </c>
      <c r="D7" s="226" t="s">
        <v>124</v>
      </c>
      <c r="E7" s="226" t="s">
        <v>104</v>
      </c>
      <c r="F7" s="226" t="s">
        <v>101</v>
      </c>
      <c r="G7" s="227" t="s">
        <v>65</v>
      </c>
      <c r="H7" s="228">
        <v>45880</v>
      </c>
      <c r="I7" s="229"/>
      <c r="J7" s="230" t="s">
        <v>36</v>
      </c>
      <c r="K7" s="226" t="s">
        <v>125</v>
      </c>
      <c r="L7" s="227">
        <v>1</v>
      </c>
      <c r="M7" s="227" t="s">
        <v>36</v>
      </c>
      <c r="N7" s="17" t="s">
        <v>126</v>
      </c>
      <c r="O7" s="17" t="s">
        <v>127</v>
      </c>
      <c r="P7" s="17">
        <v>45000</v>
      </c>
      <c r="Q7" s="17">
        <f>ROUND(SUMIF(其他补发!B:B,$C7,其他补发!D:D),2)</f>
        <v>0</v>
      </c>
      <c r="R7" s="17">
        <f>ROUND(SUMIF(其他补发!B:B,$C7,其他补发!H:H),2)</f>
        <v>0</v>
      </c>
      <c r="S7" s="17">
        <f>ROUND(SUMIF(其他补发!B:B,$C7,其他补发!I:I),2)</f>
        <v>0</v>
      </c>
      <c r="T7" s="17">
        <f>ROUND(SUMIF(其他补发!B:B,$C7,其他补发!E:E),2)</f>
        <v>0</v>
      </c>
      <c r="U7" s="17">
        <f>ROUND((VLOOKUP(C7,考勤!C:H,6,0)+VLOOKUP(C7,考勤!C:O,13,0)+VLOOKUP(C7,考勤!C:P,14,0)*0.3+VLOOKUP(C7,考勤!C:AA,25,0))*(P7+Q7+R7)/21.75,2)+ROUND((VLOOKUP(C7,考勤!C:V,19,0)+VLOOKUP(C7,考勤!C:V,20,0))*(P7+Q7+R7-2520)/21.75,2)</f>
        <v>0</v>
      </c>
      <c r="V7" s="17">
        <f>ROUND(SUMIF(动态表!C:C,C7,动态表!AA:AA)+SUMIFS(其他补发!L:L,其他补发!B:B,C7),2)</f>
        <v>0</v>
      </c>
      <c r="W7" s="17">
        <f>ROUND(VLOOKUP(C7,考勤!C:K,9,0)*P7/21.75/8*2+VLOOKUP(C7,考勤!C:L,10,0)*P7/21.75/8*3,2)+SUMIFS(加班费!$H:$H,加班费!$D:$D,$C7)</f>
        <v>0</v>
      </c>
      <c r="X7" s="17">
        <f>SUMIF(奖金!D:D,C7,奖金!F:F)</f>
        <v>0</v>
      </c>
      <c r="Y7" s="17">
        <f>SUMIF(其他补发!B:B,C7,其他补发!J:J)</f>
        <v>0</v>
      </c>
      <c r="Z7" s="17">
        <f>SUMIF(其他补发!B:B,C7,其他补发!F:F)</f>
        <v>0</v>
      </c>
      <c r="AA7" s="17">
        <f>SUMIF(其他补发!B:B,C7,其他补发!G:G)</f>
        <v>0</v>
      </c>
      <c r="AB7" s="17">
        <f>SUMIF(其他补发!B:B,C7,其他补发!M:M)</f>
        <v>0</v>
      </c>
      <c r="AC7" s="17">
        <f>SUMIF(其他补发!B:B,C7,其他补发!N:N)</f>
        <v>0</v>
      </c>
      <c r="AD7" s="17">
        <f>SUMIF(其他补发!B:B,C7,其他补发!K:K)</f>
        <v>0</v>
      </c>
      <c r="AE7" s="17">
        <f t="shared" si="0"/>
        <v>0</v>
      </c>
      <c r="AF7" s="17">
        <f t="shared" si="1"/>
        <v>45000</v>
      </c>
      <c r="AG7" s="17">
        <f>SUMIF(税后扣款!B:B,C7,税后扣款!E:E)</f>
        <v>0</v>
      </c>
      <c r="AH7" s="17">
        <f>SUMIF(房租水电!A:A,C7,房租水电!C:C)</f>
        <v>0</v>
      </c>
      <c r="AI7" s="17">
        <f>SUMIF(房租水电!A:A,C7,房租水电!D:D)</f>
        <v>0</v>
      </c>
      <c r="AJ7" s="17">
        <f>SUMIF(税后扣款!B:B,C7,税后扣款!D:D)</f>
        <v>-160</v>
      </c>
      <c r="AK7" s="17">
        <f t="shared" si="2"/>
        <v>-160</v>
      </c>
      <c r="AL7" s="17">
        <f>SUMIF(社会保险!D:D,N7,社会保险!I:I)</f>
        <v>2203.92</v>
      </c>
      <c r="AM7" s="17">
        <f>SUMIF(社会保险!D:D,N7,社会保险!J:J)</f>
        <v>672.66</v>
      </c>
      <c r="AN7" s="17">
        <f>SUMIF(社会保险!D:D,N7,社会保险!K:K)</f>
        <v>90</v>
      </c>
      <c r="AO7" s="17">
        <f>SUMIF(公积金!C:C,N7,公积金!L:L)</f>
        <v>2655.9</v>
      </c>
      <c r="AP7" s="17">
        <f>SUMIF(专项扣除!$B:$B,$C7,专项扣除!D:D)</f>
        <v>0</v>
      </c>
      <c r="AQ7" s="17">
        <f>SUMIF(专项扣除!$B:$B,$C7,专项扣除!E:E)</f>
        <v>0</v>
      </c>
      <c r="AR7" s="17">
        <f>SUMIF(专项扣除!$B:$B,$C7,专项扣除!F:F)</f>
        <v>0</v>
      </c>
      <c r="AS7" s="17">
        <f>SUMIF(专项扣除!$B:$B,$C7,专项扣除!G:G)</f>
        <v>0</v>
      </c>
      <c r="AT7" s="17">
        <f>SUMIF(专项扣除!$B:$B,$C7,专项扣除!H:H)</f>
        <v>0</v>
      </c>
      <c r="AU7" s="17">
        <f>SUMIF(专项扣除!$B:$B,$C7,专项扣除!I:I)</f>
        <v>0</v>
      </c>
      <c r="AV7" s="17">
        <f>SUMIF(专项扣除!$B:$B,$C7,专项扣除!J:J)</f>
        <v>0</v>
      </c>
      <c r="AW7" s="17">
        <v>5000</v>
      </c>
      <c r="AX7" s="17">
        <f t="shared" si="3"/>
        <v>10622.48</v>
      </c>
      <c r="AY7" s="17">
        <f>SUMIF(上月累计工资累计社保和公积金!C:C,C7,上月累计工资累计社保和公积金!E:E)</f>
        <v>315300</v>
      </c>
      <c r="AZ7" s="17">
        <f t="shared" si="4"/>
        <v>360300</v>
      </c>
      <c r="BA7" s="17">
        <f>SUMIF(上月累计工资累计社保和公积金!C:C,C7,上月累计工资累计社保和公积金!K:K)</f>
        <v>74347.73</v>
      </c>
      <c r="BB7" s="17">
        <f t="shared" si="5"/>
        <v>84970.21</v>
      </c>
      <c r="BC7" s="17">
        <f>ROUND(MAX((AZ7-BB7-AP7-AQ7-AR7-AS7-AT7-AU7-AV7)*0.01*{3,10,20,25,30,35,45}-{0,2520,16920,31920,52920,85920,181920},0),2)</f>
        <v>38145.96</v>
      </c>
      <c r="BD7" s="17">
        <f>SUMIF(上月累计工资累计社保和公积金!C:C,C7,上月累计工资累计社保和公积金!L:L)</f>
        <v>31270.45</v>
      </c>
      <c r="BE7" s="17">
        <f t="shared" si="6"/>
        <v>6875.51</v>
      </c>
      <c r="BF7" s="17">
        <f t="shared" si="7"/>
        <v>32662.01</v>
      </c>
      <c r="BG7" s="231"/>
      <c r="BH7" s="232" t="str">
        <f>VLOOKUP(C7,考勤!C:AL,36,0)</f>
        <v>~@.com</v>
      </c>
      <c r="BI7" s="233">
        <f t="shared" si="8"/>
        <v>0</v>
      </c>
      <c r="BJ7" s="234"/>
      <c r="BK7" s="235"/>
      <c r="BL7" s="235"/>
      <c r="BM7" s="235"/>
      <c r="BN7" s="235"/>
    </row>
    <row r="8" s="202" customFormat="1" ht="15.75" customHeight="1" spans="1:66">
      <c r="A8" s="224">
        <f t="shared" si="9"/>
        <v>6</v>
      </c>
      <c r="B8" s="225" t="s">
        <v>101</v>
      </c>
      <c r="C8" s="226" t="s">
        <v>128</v>
      </c>
      <c r="D8" s="226" t="s">
        <v>129</v>
      </c>
      <c r="E8" s="226" t="s">
        <v>104</v>
      </c>
      <c r="F8" s="226" t="s">
        <v>101</v>
      </c>
      <c r="G8" s="227" t="s">
        <v>66</v>
      </c>
      <c r="H8" s="228">
        <v>45880</v>
      </c>
      <c r="I8" s="229"/>
      <c r="J8" s="230" t="s">
        <v>38</v>
      </c>
      <c r="K8" s="226" t="s">
        <v>130</v>
      </c>
      <c r="L8" s="227">
        <v>1</v>
      </c>
      <c r="M8" s="227" t="s">
        <v>38</v>
      </c>
      <c r="N8" s="17" t="s">
        <v>131</v>
      </c>
      <c r="O8" s="17" t="s">
        <v>132</v>
      </c>
      <c r="P8" s="17">
        <v>38000</v>
      </c>
      <c r="Q8" s="17">
        <f>ROUND(SUMIF(其他补发!B:B,$C8,其他补发!D:D),2)</f>
        <v>0</v>
      </c>
      <c r="R8" s="17">
        <f>ROUND(SUMIF(其他补发!B:B,$C8,其他补发!H:H),2)</f>
        <v>0</v>
      </c>
      <c r="S8" s="17">
        <f>ROUND(SUMIF(其他补发!B:B,$C8,其他补发!I:I),2)</f>
        <v>0</v>
      </c>
      <c r="T8" s="17">
        <f>ROUND(SUMIF(其他补发!B:B,$C8,其他补发!E:E),2)</f>
        <v>0</v>
      </c>
      <c r="U8" s="17">
        <f>ROUND((VLOOKUP(C8,考勤!C:H,6,0)+VLOOKUP(C8,考勤!C:O,13,0)+VLOOKUP(C8,考勤!C:P,14,0)*0.3+VLOOKUP(C8,考勤!C:AA,25,0))*(P8+Q8+R8)/21.75,2)+ROUND((VLOOKUP(C8,考勤!C:V,19,0)+VLOOKUP(C8,考勤!C:V,20,0))*(P8+Q8+R8-2520)/21.75,2)</f>
        <v>0</v>
      </c>
      <c r="V8" s="17">
        <f>ROUND(SUMIF(动态表!C:C,C8,动态表!AA:AA)+SUMIFS(其他补发!L:L,其他补发!B:B,C8),2)</f>
        <v>0</v>
      </c>
      <c r="W8" s="17">
        <f>ROUND(VLOOKUP(C8,考勤!C:K,9,0)*P8/21.75/8*2+VLOOKUP(C8,考勤!C:L,10,0)*P8/21.75/8*3,2)+SUMIFS(加班费!$H:$H,加班费!$D:$D,$C8)</f>
        <v>0</v>
      </c>
      <c r="X8" s="17">
        <f>SUMIF(奖金!D:D,C8,奖金!F:F)</f>
        <v>0</v>
      </c>
      <c r="Y8" s="17">
        <f>SUMIF(其他补发!B:B,C8,其他补发!J:J)</f>
        <v>0</v>
      </c>
      <c r="Z8" s="17">
        <f>SUMIF(其他补发!B:B,C8,其他补发!F:F)</f>
        <v>0</v>
      </c>
      <c r="AA8" s="17">
        <f>SUMIF(其他补发!B:B,C8,其他补发!G:G)</f>
        <v>0</v>
      </c>
      <c r="AB8" s="17">
        <f>SUMIF(其他补发!B:B,C8,其他补发!M:M)</f>
        <v>0</v>
      </c>
      <c r="AC8" s="17">
        <f>SUMIF(其他补发!B:B,C8,其他补发!N:N)</f>
        <v>0</v>
      </c>
      <c r="AD8" s="17">
        <f>SUMIF(其他补发!B:B,C8,其他补发!K:K)</f>
        <v>0</v>
      </c>
      <c r="AE8" s="17">
        <f t="shared" si="0"/>
        <v>0</v>
      </c>
      <c r="AF8" s="17">
        <f t="shared" si="1"/>
        <v>38000</v>
      </c>
      <c r="AG8" s="17">
        <f>SUMIF(税后扣款!B:B,C8,税后扣款!E:E)</f>
        <v>0</v>
      </c>
      <c r="AH8" s="17">
        <f>SUMIF(房租水电!A:A,C8,房租水电!C:C)</f>
        <v>0</v>
      </c>
      <c r="AI8" s="17">
        <f>SUMIF(房租水电!A:A,C8,房租水电!D:D)</f>
        <v>0</v>
      </c>
      <c r="AJ8" s="17">
        <f>SUMIF(税后扣款!B:B,C8,税后扣款!D:D)</f>
        <v>-160</v>
      </c>
      <c r="AK8" s="17">
        <f t="shared" si="2"/>
        <v>-160</v>
      </c>
      <c r="AL8" s="17">
        <f>SUMIF(社会保险!D:D,N8,社会保险!I:I)</f>
        <v>0</v>
      </c>
      <c r="AM8" s="17">
        <f>SUMIF(社会保险!D:D,N8,社会保险!J:J)</f>
        <v>0</v>
      </c>
      <c r="AN8" s="17">
        <f>SUMIF(社会保险!D:D,N8,社会保险!K:K)</f>
        <v>0</v>
      </c>
      <c r="AO8" s="17">
        <f>SUMIF(公积金!C:C,N8,公积金!L:L)</f>
        <v>0</v>
      </c>
      <c r="AP8" s="17">
        <f>SUMIF(专项扣除!$B:$B,$C8,专项扣除!D:D)</f>
        <v>0</v>
      </c>
      <c r="AQ8" s="17">
        <f>SUMIF(专项扣除!$B:$B,$C8,专项扣除!E:E)</f>
        <v>0</v>
      </c>
      <c r="AR8" s="17">
        <f>SUMIF(专项扣除!$B:$B,$C8,专项扣除!F:F)</f>
        <v>0</v>
      </c>
      <c r="AS8" s="17">
        <f>SUMIF(专项扣除!$B:$B,$C8,专项扣除!G:G)</f>
        <v>0</v>
      </c>
      <c r="AT8" s="17">
        <f>SUMIF(专项扣除!$B:$B,$C8,专项扣除!H:H)</f>
        <v>0</v>
      </c>
      <c r="AU8" s="17">
        <f>SUMIF(专项扣除!$B:$B,$C8,专项扣除!I:I)</f>
        <v>0</v>
      </c>
      <c r="AV8" s="17">
        <f>SUMIF(专项扣除!$B:$B,$C8,专项扣除!J:J)</f>
        <v>0</v>
      </c>
      <c r="AW8" s="17">
        <v>5000</v>
      </c>
      <c r="AX8" s="17">
        <f t="shared" si="3"/>
        <v>5000</v>
      </c>
      <c r="AY8" s="17">
        <f>SUMIF(上月累计工资累计社保和公积金!C:C,C8,上月累计工资累计社保和公积金!E:E)</f>
        <v>254300</v>
      </c>
      <c r="AZ8" s="17">
        <f t="shared" si="4"/>
        <v>292300</v>
      </c>
      <c r="BA8" s="17">
        <f>SUMIF(上月累计工资累计社保和公积金!C:C,C8,上月累计工资累计社保和公积金!K:K)</f>
        <v>35000</v>
      </c>
      <c r="BB8" s="17">
        <f t="shared" si="5"/>
        <v>40000</v>
      </c>
      <c r="BC8" s="17">
        <f>ROUND(MAX((AZ8-BB8-AP8-AQ8-AR8-AS8-AT8-AU8-AV8)*0.01*{3,10,20,25,30,35,45}-{0,2520,16920,31920,52920,85920,181920},0),2)</f>
        <v>33540</v>
      </c>
      <c r="BD8" s="17">
        <f>SUMIF(上月累计工资累计社保和公积金!C:C,C8,上月累计工资累计社保和公积金!L:L)</f>
        <v>26940</v>
      </c>
      <c r="BE8" s="17">
        <f t="shared" si="6"/>
        <v>6600</v>
      </c>
      <c r="BF8" s="17">
        <f t="shared" si="7"/>
        <v>31560</v>
      </c>
      <c r="BG8" s="231"/>
      <c r="BH8" s="232" t="str">
        <f>VLOOKUP(C8,考勤!C:AL,36,0)</f>
        <v>Simon@youdoogo.com</v>
      </c>
      <c r="BI8" s="233">
        <f t="shared" si="8"/>
        <v>0</v>
      </c>
      <c r="BJ8" s="234"/>
      <c r="BK8" s="235"/>
      <c r="BL8" s="235"/>
      <c r="BM8" s="235"/>
      <c r="BN8" s="235"/>
    </row>
    <row r="9" s="202" customFormat="1" ht="15.75" customHeight="1" spans="1:66">
      <c r="A9" s="224">
        <f t="shared" si="9"/>
        <v>7</v>
      </c>
      <c r="B9" s="225" t="s">
        <v>101</v>
      </c>
      <c r="C9" s="226" t="s">
        <v>133</v>
      </c>
      <c r="D9" s="226" t="s">
        <v>134</v>
      </c>
      <c r="E9" s="226" t="s">
        <v>104</v>
      </c>
      <c r="F9" s="226" t="s">
        <v>101</v>
      </c>
      <c r="G9" s="227" t="s">
        <v>65</v>
      </c>
      <c r="H9" s="228">
        <v>45880</v>
      </c>
      <c r="I9" s="229"/>
      <c r="J9" s="230" t="s">
        <v>36</v>
      </c>
      <c r="K9" s="226" t="s">
        <v>135</v>
      </c>
      <c r="L9" s="227">
        <v>1</v>
      </c>
      <c r="M9" s="227" t="s">
        <v>36</v>
      </c>
      <c r="N9" s="17" t="s">
        <v>136</v>
      </c>
      <c r="O9" s="17" t="s">
        <v>137</v>
      </c>
      <c r="P9" s="17">
        <v>18000</v>
      </c>
      <c r="Q9" s="17">
        <f>ROUND(SUMIF(其他补发!B:B,$C9,其他补发!D:D),2)</f>
        <v>0</v>
      </c>
      <c r="R9" s="17">
        <f>ROUND(SUMIF(其他补发!B:B,$C9,其他补发!H:H),2)</f>
        <v>0</v>
      </c>
      <c r="S9" s="17">
        <f>ROUND(SUMIF(其他补发!B:B,$C9,其他补发!I:I),2)</f>
        <v>0</v>
      </c>
      <c r="T9" s="17">
        <f>ROUND(SUMIF(其他补发!B:B,$C9,其他补发!E:E),2)</f>
        <v>0</v>
      </c>
      <c r="U9" s="17">
        <f>ROUND((VLOOKUP(C9,考勤!C:H,6,0)+VLOOKUP(C9,考勤!C:O,13,0)+VLOOKUP(C9,考勤!C:P,14,0)*0.3+VLOOKUP(C9,考勤!C:AA,25,0))*(P9+Q9+R9)/21.75,2)+ROUND((VLOOKUP(C9,考勤!C:V,19,0)+VLOOKUP(C9,考勤!C:V,20,0))*(P9+Q9+R9-2520)/21.75,2)</f>
        <v>0</v>
      </c>
      <c r="V9" s="17">
        <f>ROUND(SUMIF(动态表!C:C,C9,动态表!AA:AA)+SUMIFS(其他补发!L:L,其他补发!B:B,C9),2)</f>
        <v>0</v>
      </c>
      <c r="W9" s="17">
        <f>ROUND(VLOOKUP(C9,考勤!C:K,9,0)*P9/21.75/8*2+VLOOKUP(C9,考勤!C:L,10,0)*P9/21.75/8*3,2)+SUMIFS(加班费!$H:$H,加班费!$D:$D,$C9)</f>
        <v>0</v>
      </c>
      <c r="X9" s="17">
        <f>SUMIF(奖金!D:D,C9,奖金!F:F)</f>
        <v>0</v>
      </c>
      <c r="Y9" s="17">
        <f>SUMIF(其他补发!B:B,C9,其他补发!J:J)</f>
        <v>0</v>
      </c>
      <c r="Z9" s="17">
        <f>SUMIF(其他补发!B:B,C9,其他补发!F:F)</f>
        <v>0</v>
      </c>
      <c r="AA9" s="17">
        <f>SUMIF(其他补发!B:B,C9,其他补发!G:G)</f>
        <v>0</v>
      </c>
      <c r="AB9" s="17">
        <f>SUMIF(其他补发!B:B,C9,其他补发!M:M)</f>
        <v>0</v>
      </c>
      <c r="AC9" s="17">
        <f>SUMIF(其他补发!B:B,C9,其他补发!N:N)</f>
        <v>0</v>
      </c>
      <c r="AD9" s="17">
        <f>SUMIF(其他补发!B:B,C9,其他补发!K:K)</f>
        <v>0</v>
      </c>
      <c r="AE9" s="17">
        <f t="shared" si="0"/>
        <v>0</v>
      </c>
      <c r="AF9" s="17">
        <f t="shared" si="1"/>
        <v>18000</v>
      </c>
      <c r="AG9" s="17">
        <f>SUMIF(税后扣款!B:B,C9,税后扣款!E:E)</f>
        <v>0</v>
      </c>
      <c r="AH9" s="17">
        <f>SUMIF(房租水电!A:A,C9,房租水电!C:C)</f>
        <v>0</v>
      </c>
      <c r="AI9" s="17">
        <f>SUMIF(房租水电!A:A,C9,房租水电!D:D)</f>
        <v>0</v>
      </c>
      <c r="AJ9" s="17">
        <f>SUMIF(税后扣款!B:B,C9,税后扣款!D:D)</f>
        <v>0</v>
      </c>
      <c r="AK9" s="17">
        <f t="shared" si="2"/>
        <v>0</v>
      </c>
      <c r="AL9" s="17">
        <f>SUMIF(社会保险!D:D,N9,社会保险!I:I)</f>
        <v>1440</v>
      </c>
      <c r="AM9" s="17">
        <f>SUMIF(社会保险!D:D,N9,社会保险!J:J)</f>
        <v>360</v>
      </c>
      <c r="AN9" s="17">
        <f>SUMIF(社会保险!D:D,N9,社会保险!K:K)</f>
        <v>36</v>
      </c>
      <c r="AO9" s="17">
        <f>SUMIF(公积金!C:C,N9,公积金!L:L)</f>
        <v>2160</v>
      </c>
      <c r="AP9" s="17">
        <f>SUMIF(专项扣除!$B:$B,$C9,专项扣除!D:D)</f>
        <v>0</v>
      </c>
      <c r="AQ9" s="17">
        <f>SUMIF(专项扣除!$B:$B,$C9,专项扣除!E:E)</f>
        <v>0</v>
      </c>
      <c r="AR9" s="17">
        <f>SUMIF(专项扣除!$B:$B,$C9,专项扣除!F:F)</f>
        <v>0</v>
      </c>
      <c r="AS9" s="17">
        <f>SUMIF(专项扣除!$B:$B,$C9,专项扣除!G:G)</f>
        <v>0</v>
      </c>
      <c r="AT9" s="17">
        <f>SUMIF(专项扣除!$B:$B,$C9,专项扣除!H:H)</f>
        <v>0</v>
      </c>
      <c r="AU9" s="17">
        <f>SUMIF(专项扣除!$B:$B,$C9,专项扣除!I:I)</f>
        <v>0</v>
      </c>
      <c r="AV9" s="17">
        <f>SUMIF(专项扣除!$B:$B,$C9,专项扣除!J:J)</f>
        <v>0</v>
      </c>
      <c r="AW9" s="17">
        <v>5000</v>
      </c>
      <c r="AX9" s="17">
        <f t="shared" si="3"/>
        <v>8996</v>
      </c>
      <c r="AY9" s="17">
        <f>SUMIF(上月累计工资累计社保和公积金!C:C,C9,上月累计工资累计社保和公积金!E:E)</f>
        <v>126300</v>
      </c>
      <c r="AZ9" s="17">
        <f t="shared" si="4"/>
        <v>144300</v>
      </c>
      <c r="BA9" s="17">
        <f>SUMIF(上月累计工资累计社保和公积金!C:C,C9,上月累计工资累计社保和公积金!K:K)</f>
        <v>55412</v>
      </c>
      <c r="BB9" s="17">
        <f t="shared" si="5"/>
        <v>64408</v>
      </c>
      <c r="BC9" s="17">
        <f>ROUND(MAX((AZ9-BB9-AP9-AQ9-AR9-AS9-AT9-AU9-AV9)*0.01*{3,10,20,25,30,35,45}-{0,2520,16920,31920,52920,85920,181920},0),2)</f>
        <v>5469.2</v>
      </c>
      <c r="BD9" s="17">
        <f>SUMIF(上月累计工资累计社保和公积金!C:C,C9,上月累计工资累计社保和公积金!L:L)</f>
        <v>4568.8</v>
      </c>
      <c r="BE9" s="17">
        <f t="shared" si="6"/>
        <v>900.4</v>
      </c>
      <c r="BF9" s="17">
        <f t="shared" si="7"/>
        <v>13103.6</v>
      </c>
      <c r="BG9" s="231"/>
      <c r="BH9" s="232" t="str">
        <f>VLOOKUP(C9,考勤!C:AL,36,0)</f>
        <v>~@.com</v>
      </c>
      <c r="BI9" s="233">
        <f t="shared" si="8"/>
        <v>0</v>
      </c>
      <c r="BJ9" s="234"/>
      <c r="BK9" s="235"/>
      <c r="BL9" s="235"/>
      <c r="BM9" s="235"/>
      <c r="BN9" s="235"/>
    </row>
    <row r="10" s="202" customFormat="1" ht="15.75" customHeight="1" spans="1:66">
      <c r="A10" s="224">
        <f t="shared" si="9"/>
        <v>8</v>
      </c>
      <c r="B10" s="225" t="s">
        <v>101</v>
      </c>
      <c r="C10" s="226" t="s">
        <v>138</v>
      </c>
      <c r="D10" s="226" t="s">
        <v>139</v>
      </c>
      <c r="E10" s="226" t="s">
        <v>104</v>
      </c>
      <c r="F10" s="226" t="s">
        <v>101</v>
      </c>
      <c r="G10" s="227" t="s">
        <v>67</v>
      </c>
      <c r="H10" s="228">
        <v>45880</v>
      </c>
      <c r="I10" s="229"/>
      <c r="J10" s="230" t="s">
        <v>36</v>
      </c>
      <c r="K10" s="226" t="s">
        <v>115</v>
      </c>
      <c r="L10" s="227">
        <v>1</v>
      </c>
      <c r="M10" s="227" t="s">
        <v>36</v>
      </c>
      <c r="N10" s="17" t="s">
        <v>140</v>
      </c>
      <c r="O10" s="17" t="s">
        <v>141</v>
      </c>
      <c r="P10" s="17">
        <v>30000</v>
      </c>
      <c r="Q10" s="17">
        <f>ROUND(SUMIF(其他补发!B:B,$C10,其他补发!D:D),2)</f>
        <v>0</v>
      </c>
      <c r="R10" s="17">
        <f>ROUND(SUMIF(其他补发!B:B,$C10,其他补发!H:H),2)</f>
        <v>0</v>
      </c>
      <c r="S10" s="17">
        <f>ROUND(SUMIF(其他补发!B:B,$C10,其他补发!I:I),2)</f>
        <v>0</v>
      </c>
      <c r="T10" s="17">
        <f>ROUND(SUMIF(其他补发!B:B,$C10,其他补发!E:E),2)</f>
        <v>0</v>
      </c>
      <c r="U10" s="17">
        <f>ROUND((VLOOKUP(C10,考勤!C:H,6,0)+VLOOKUP(C10,考勤!C:O,13,0)+VLOOKUP(C10,考勤!C:P,14,0)*0.3+VLOOKUP(C10,考勤!C:AA,25,0))*(P10+Q10+R10)/21.75,2)+ROUND((VLOOKUP(C10,考勤!C:V,19,0)+VLOOKUP(C10,考勤!C:V,20,0))*(P10+Q10+R10-2520)/21.75,2)</f>
        <v>0</v>
      </c>
      <c r="V10" s="17">
        <f>ROUND(SUMIF(动态表!C:C,C10,动态表!AA:AA)+SUMIFS(其他补发!L:L,其他补发!B:B,C10),2)</f>
        <v>0</v>
      </c>
      <c r="W10" s="17">
        <f>ROUND(VLOOKUP(C10,考勤!C:K,9,0)*P10/21.75/8*2+VLOOKUP(C10,考勤!C:L,10,0)*P10/21.75/8*3,2)+SUMIFS(加班费!$H:$H,加班费!$D:$D,$C10)</f>
        <v>0</v>
      </c>
      <c r="X10" s="17">
        <f>SUMIF(奖金!D:D,C10,奖金!F:F)</f>
        <v>0</v>
      </c>
      <c r="Y10" s="17">
        <f>SUMIF(其他补发!B:B,C10,其他补发!J:J)</f>
        <v>0</v>
      </c>
      <c r="Z10" s="17">
        <f>SUMIF(其他补发!B:B,C10,其他补发!F:F)</f>
        <v>0</v>
      </c>
      <c r="AA10" s="17">
        <f>SUMIF(其他补发!B:B,C10,其他补发!G:G)</f>
        <v>0</v>
      </c>
      <c r="AB10" s="17">
        <f>SUMIF(其他补发!B:B,C10,其他补发!M:M)</f>
        <v>0</v>
      </c>
      <c r="AC10" s="17">
        <f>SUMIF(其他补发!B:B,C10,其他补发!N:N)</f>
        <v>0</v>
      </c>
      <c r="AD10" s="17">
        <f>SUMIF(其他补发!B:B,C10,其他补发!K:K)</f>
        <v>0</v>
      </c>
      <c r="AE10" s="17">
        <f t="shared" si="0"/>
        <v>0</v>
      </c>
      <c r="AF10" s="17">
        <f t="shared" si="1"/>
        <v>30000</v>
      </c>
      <c r="AG10" s="17">
        <f>SUMIF(税后扣款!B:B,C10,税后扣款!E:E)</f>
        <v>0</v>
      </c>
      <c r="AH10" s="17">
        <f>SUMIF(房租水电!A:A,C10,房租水电!C:C)</f>
        <v>0</v>
      </c>
      <c r="AI10" s="17">
        <f>SUMIF(房租水电!A:A,C10,房租水电!D:D)</f>
        <v>0</v>
      </c>
      <c r="AJ10" s="17">
        <f>SUMIF(税后扣款!B:B,C10,税后扣款!D:D)</f>
        <v>0</v>
      </c>
      <c r="AK10" s="17">
        <f t="shared" si="2"/>
        <v>0</v>
      </c>
      <c r="AL10" s="17">
        <f>SUMIF(社会保险!D:D,N10,社会保险!I:I)</f>
        <v>2203.92</v>
      </c>
      <c r="AM10" s="17">
        <f>SUMIF(社会保险!D:D,N10,社会保险!J:J)</f>
        <v>600</v>
      </c>
      <c r="AN10" s="17">
        <f>SUMIF(社会保险!D:D,N10,社会保险!K:K)</f>
        <v>60</v>
      </c>
      <c r="AO10" s="17">
        <f>SUMIF(公积金!C:C,N10,公积金!L:L)</f>
        <v>3600</v>
      </c>
      <c r="AP10" s="17">
        <f>SUMIF(专项扣除!$B:$B,$C10,专项扣除!D:D)</f>
        <v>0</v>
      </c>
      <c r="AQ10" s="17">
        <f>SUMIF(专项扣除!$B:$B,$C10,专项扣除!E:E)</f>
        <v>0</v>
      </c>
      <c r="AR10" s="17">
        <f>SUMIF(专项扣除!$B:$B,$C10,专项扣除!F:F)</f>
        <v>0</v>
      </c>
      <c r="AS10" s="17">
        <f>SUMIF(专项扣除!$B:$B,$C10,专项扣除!G:G)</f>
        <v>0</v>
      </c>
      <c r="AT10" s="17">
        <f>SUMIF(专项扣除!$B:$B,$C10,专项扣除!H:H)</f>
        <v>0</v>
      </c>
      <c r="AU10" s="17">
        <f>SUMIF(专项扣除!$B:$B,$C10,专项扣除!I:I)</f>
        <v>0</v>
      </c>
      <c r="AV10" s="17">
        <f>SUMIF(专项扣除!$B:$B,$C10,专项扣除!J:J)</f>
        <v>0</v>
      </c>
      <c r="AW10" s="17">
        <v>5000</v>
      </c>
      <c r="AX10" s="17">
        <f t="shared" si="3"/>
        <v>11463.92</v>
      </c>
      <c r="AY10" s="17">
        <f>SUMIF(上月累计工资累计社保和公积金!C:C,C10,上月累计工资累计社保和公积金!E:E)</f>
        <v>210300</v>
      </c>
      <c r="AZ10" s="17">
        <f t="shared" si="4"/>
        <v>240300</v>
      </c>
      <c r="BA10" s="17">
        <f>SUMIF(上月累计工资累计社保和公积金!C:C,C10,上月累计工资累计社保和公积金!K:K)</f>
        <v>67647.44</v>
      </c>
      <c r="BB10" s="17">
        <f t="shared" si="5"/>
        <v>79111.36</v>
      </c>
      <c r="BC10" s="17">
        <f>ROUND(MAX((AZ10-BB10-AP10-AQ10-AR10-AS10-AT10-AU10-AV10)*0.01*{3,10,20,25,30,35,45}-{0,2520,16920,31920,52920,85920,181920},0),2)</f>
        <v>15317.73</v>
      </c>
      <c r="BD10" s="17">
        <f>SUMIF(上月累计工资累计社保和公积金!C:C,C10,上月累计工资累计社保和公积金!L:L)</f>
        <v>11745.26</v>
      </c>
      <c r="BE10" s="17">
        <f t="shared" si="6"/>
        <v>3572.47</v>
      </c>
      <c r="BF10" s="17">
        <f t="shared" si="7"/>
        <v>19963.61</v>
      </c>
      <c r="BG10" s="231"/>
      <c r="BH10" s="232" t="str">
        <f>VLOOKUP(C10,考勤!C:AL,36,0)</f>
        <v>LiuKuiTing@.com</v>
      </c>
      <c r="BI10" s="233">
        <f t="shared" si="8"/>
        <v>0</v>
      </c>
      <c r="BJ10" s="234"/>
      <c r="BK10" s="235"/>
      <c r="BL10" s="235"/>
      <c r="BM10" s="235"/>
      <c r="BN10" s="235"/>
    </row>
    <row r="11" s="202" customFormat="1" ht="15.75" customHeight="1" spans="1:66">
      <c r="A11" s="224">
        <f t="shared" si="9"/>
        <v>9</v>
      </c>
      <c r="B11" s="225" t="s">
        <v>101</v>
      </c>
      <c r="C11" s="226" t="s">
        <v>142</v>
      </c>
      <c r="D11" s="226" t="s">
        <v>143</v>
      </c>
      <c r="E11" s="226" t="s">
        <v>104</v>
      </c>
      <c r="F11" s="226" t="s">
        <v>101</v>
      </c>
      <c r="G11" s="227" t="s">
        <v>67</v>
      </c>
      <c r="H11" s="228">
        <v>45880</v>
      </c>
      <c r="I11" s="229"/>
      <c r="J11" s="230" t="s">
        <v>36</v>
      </c>
      <c r="K11" s="226" t="s">
        <v>115</v>
      </c>
      <c r="L11" s="227">
        <v>1</v>
      </c>
      <c r="M11" s="227" t="s">
        <v>36</v>
      </c>
      <c r="N11" s="17" t="s">
        <v>144</v>
      </c>
      <c r="O11" s="17" t="s">
        <v>145</v>
      </c>
      <c r="P11" s="17">
        <v>30000</v>
      </c>
      <c r="Q11" s="17">
        <f>ROUND(SUMIF(其他补发!B:B,$C11,其他补发!D:D),2)</f>
        <v>0</v>
      </c>
      <c r="R11" s="17">
        <f>ROUND(SUMIF(其他补发!B:B,$C11,其他补发!H:H),2)</f>
        <v>0</v>
      </c>
      <c r="S11" s="17">
        <f>ROUND(SUMIF(其他补发!B:B,$C11,其他补发!I:I),2)</f>
        <v>0</v>
      </c>
      <c r="T11" s="17">
        <f>ROUND(SUMIF(其他补发!B:B,$C11,其他补发!E:E),2)</f>
        <v>0</v>
      </c>
      <c r="U11" s="17">
        <f>ROUND((VLOOKUP(C11,考勤!C:H,6,0)+VLOOKUP(C11,考勤!C:O,13,0)+VLOOKUP(C11,考勤!C:P,14,0)*0.3+VLOOKUP(C11,考勤!C:AA,25,0))*(P11+Q11+R11)/21.75,2)+ROUND((VLOOKUP(C11,考勤!C:V,19,0)+VLOOKUP(C11,考勤!C:V,20,0))*(P11+Q11+R11-2520)/21.75,2)</f>
        <v>0</v>
      </c>
      <c r="V11" s="17">
        <f>ROUND(SUMIF(动态表!C:C,C11,动态表!AA:AA)+SUMIFS(其他补发!L:L,其他补发!B:B,C11),2)</f>
        <v>0</v>
      </c>
      <c r="W11" s="17">
        <f>ROUND(VLOOKUP(C11,考勤!C:K,9,0)*P11/21.75/8*2+VLOOKUP(C11,考勤!C:L,10,0)*P11/21.75/8*3,2)+SUMIFS(加班费!$H:$H,加班费!$D:$D,$C11)</f>
        <v>0</v>
      </c>
      <c r="X11" s="17">
        <f>SUMIF(奖金!D:D,C11,奖金!F:F)</f>
        <v>0</v>
      </c>
      <c r="Y11" s="17">
        <f>SUMIF(其他补发!B:B,C11,其他补发!J:J)</f>
        <v>0</v>
      </c>
      <c r="Z11" s="17">
        <f>SUMIF(其他补发!B:B,C11,其他补发!F:F)</f>
        <v>0</v>
      </c>
      <c r="AA11" s="17">
        <f>SUMIF(其他补发!B:B,C11,其他补发!G:G)</f>
        <v>0</v>
      </c>
      <c r="AB11" s="17">
        <f>SUMIF(其他补发!B:B,C11,其他补发!M:M)</f>
        <v>0</v>
      </c>
      <c r="AC11" s="17">
        <f>SUMIF(其他补发!B:B,C11,其他补发!N:N)</f>
        <v>0</v>
      </c>
      <c r="AD11" s="17">
        <f>SUMIF(其他补发!B:B,C11,其他补发!K:K)</f>
        <v>0</v>
      </c>
      <c r="AE11" s="17">
        <f t="shared" si="0"/>
        <v>0</v>
      </c>
      <c r="AF11" s="17">
        <f t="shared" si="1"/>
        <v>30000</v>
      </c>
      <c r="AG11" s="17">
        <f>SUMIF(税后扣款!B:B,C11,税后扣款!E:E)</f>
        <v>0</v>
      </c>
      <c r="AH11" s="17">
        <f>SUMIF(房租水电!A:A,C11,房租水电!C:C)</f>
        <v>0</v>
      </c>
      <c r="AI11" s="17">
        <f>SUMIF(房租水电!A:A,C11,房租水电!D:D)</f>
        <v>0</v>
      </c>
      <c r="AJ11" s="17">
        <f>SUMIF(税后扣款!B:B,C11,税后扣款!D:D)</f>
        <v>0</v>
      </c>
      <c r="AK11" s="17">
        <f t="shared" si="2"/>
        <v>0</v>
      </c>
      <c r="AL11" s="17">
        <f>SUMIF(社会保险!D:D,N11,社会保险!I:I)</f>
        <v>2203.92</v>
      </c>
      <c r="AM11" s="17">
        <f>SUMIF(社会保险!D:D,N11,社会保险!J:J)</f>
        <v>600</v>
      </c>
      <c r="AN11" s="17">
        <f>SUMIF(社会保险!D:D,N11,社会保险!K:K)</f>
        <v>60</v>
      </c>
      <c r="AO11" s="17">
        <f>SUMIF(公积金!C:C,N11,公积金!L:L)</f>
        <v>3600</v>
      </c>
      <c r="AP11" s="17">
        <f>SUMIF(专项扣除!$B:$B,$C11,专项扣除!D:D)</f>
        <v>0</v>
      </c>
      <c r="AQ11" s="17">
        <f>SUMIF(专项扣除!$B:$B,$C11,专项扣除!E:E)</f>
        <v>0</v>
      </c>
      <c r="AR11" s="17">
        <f>SUMIF(专项扣除!$B:$B,$C11,专项扣除!F:F)</f>
        <v>0</v>
      </c>
      <c r="AS11" s="17">
        <f>SUMIF(专项扣除!$B:$B,$C11,专项扣除!G:G)</f>
        <v>0</v>
      </c>
      <c r="AT11" s="17">
        <f>SUMIF(专项扣除!$B:$B,$C11,专项扣除!H:H)</f>
        <v>0</v>
      </c>
      <c r="AU11" s="17">
        <f>SUMIF(专项扣除!$B:$B,$C11,专项扣除!I:I)</f>
        <v>0</v>
      </c>
      <c r="AV11" s="17">
        <f>SUMIF(专项扣除!$B:$B,$C11,专项扣除!J:J)</f>
        <v>0</v>
      </c>
      <c r="AW11" s="17">
        <v>5000</v>
      </c>
      <c r="AX11" s="17">
        <f t="shared" si="3"/>
        <v>11463.92</v>
      </c>
      <c r="AY11" s="17">
        <f>SUMIF(上月累计工资累计社保和公积金!C:C,C11,上月累计工资累计社保和公积金!E:E)</f>
        <v>210300</v>
      </c>
      <c r="AZ11" s="17">
        <f t="shared" si="4"/>
        <v>240300</v>
      </c>
      <c r="BA11" s="17">
        <f>SUMIF(上月累计工资累计社保和公积金!C:C,C11,上月累计工资累计社保和公积金!K:K)</f>
        <v>67647.44</v>
      </c>
      <c r="BB11" s="17">
        <f t="shared" si="5"/>
        <v>79111.36</v>
      </c>
      <c r="BC11" s="17">
        <f>ROUND(MAX((AZ11-BB11-AP11-AQ11-AR11-AS11-AT11-AU11-AV11)*0.01*{3,10,20,25,30,35,45}-{0,2520,16920,31920,52920,85920,181920},0),2)</f>
        <v>15317.73</v>
      </c>
      <c r="BD11" s="17">
        <f>SUMIF(上月累计工资累计社保和公积金!C:C,C11,上月累计工资累计社保和公积金!L:L)</f>
        <v>11745.26</v>
      </c>
      <c r="BE11" s="17">
        <f t="shared" si="6"/>
        <v>3572.47</v>
      </c>
      <c r="BF11" s="17">
        <f t="shared" si="7"/>
        <v>19963.61</v>
      </c>
      <c r="BG11" s="231"/>
      <c r="BH11" s="232" t="str">
        <f>VLOOKUP(C11,考勤!C:AL,36,0)</f>
        <v>Red@youdoogo.com</v>
      </c>
      <c r="BI11" s="233">
        <f t="shared" si="8"/>
        <v>0</v>
      </c>
      <c r="BJ11" s="236"/>
      <c r="BK11" s="235"/>
      <c r="BL11" s="235"/>
      <c r="BM11" s="235"/>
      <c r="BN11" s="235"/>
    </row>
    <row r="12" s="202" customFormat="1" ht="15.75" customHeight="1" spans="1:66">
      <c r="A12" s="224">
        <f t="shared" si="9"/>
        <v>10</v>
      </c>
      <c r="B12" s="225" t="s">
        <v>101</v>
      </c>
      <c r="C12" s="226" t="s">
        <v>146</v>
      </c>
      <c r="D12" s="226" t="s">
        <v>147</v>
      </c>
      <c r="E12" s="226" t="s">
        <v>104</v>
      </c>
      <c r="F12" s="226" t="s">
        <v>101</v>
      </c>
      <c r="G12" s="227" t="s">
        <v>65</v>
      </c>
      <c r="H12" s="228">
        <v>45880</v>
      </c>
      <c r="I12" s="229"/>
      <c r="J12" s="230" t="s">
        <v>36</v>
      </c>
      <c r="K12" s="226" t="s">
        <v>148</v>
      </c>
      <c r="L12" s="227">
        <v>1</v>
      </c>
      <c r="M12" s="227" t="s">
        <v>36</v>
      </c>
      <c r="N12" s="17" t="s">
        <v>149</v>
      </c>
      <c r="O12" s="17" t="s">
        <v>150</v>
      </c>
      <c r="P12" s="17">
        <v>20000</v>
      </c>
      <c r="Q12" s="17">
        <f>ROUND(SUMIF(其他补发!B:B,$C12,其他补发!D:D),2)</f>
        <v>0</v>
      </c>
      <c r="R12" s="17">
        <f>ROUND(SUMIF(其他补发!B:B,$C12,其他补发!H:H),2)</f>
        <v>0</v>
      </c>
      <c r="S12" s="17">
        <f>ROUND(SUMIF(其他补发!B:B,$C12,其他补发!I:I),2)</f>
        <v>0</v>
      </c>
      <c r="T12" s="17">
        <f>ROUND(SUMIF(其他补发!B:B,$C12,其他补发!E:E),2)</f>
        <v>0</v>
      </c>
      <c r="U12" s="17">
        <f>ROUND((VLOOKUP(C12,考勤!C:H,6,0)+VLOOKUP(C12,考勤!C:O,13,0)+VLOOKUP(C12,考勤!C:P,14,0)*0.3+VLOOKUP(C12,考勤!C:AA,25,0))*(P12+Q12+R12)/21.75,2)+ROUND((VLOOKUP(C12,考勤!C:V,19,0)+VLOOKUP(C12,考勤!C:V,20,0))*(P12+Q12+R12-2520)/21.75,2)</f>
        <v>0</v>
      </c>
      <c r="V12" s="17">
        <f>ROUND(SUMIF(动态表!C:C,C12,动态表!AA:AA)+SUMIFS(其他补发!L:L,其他补发!B:B,C12),2)</f>
        <v>0</v>
      </c>
      <c r="W12" s="17">
        <f>ROUND(VLOOKUP(C12,考勤!C:K,9,0)*P12/21.75/8*2+VLOOKUP(C12,考勤!C:L,10,0)*P12/21.75/8*3,2)+SUMIFS(加班费!$H:$H,加班费!$D:$D,$C12)</f>
        <v>0</v>
      </c>
      <c r="X12" s="17">
        <f>SUMIF(奖金!D:D,C12,奖金!F:F)</f>
        <v>0</v>
      </c>
      <c r="Y12" s="17">
        <f>SUMIF(其他补发!B:B,C12,其他补发!J:J)</f>
        <v>0</v>
      </c>
      <c r="Z12" s="17">
        <f>SUMIF(其他补发!B:B,C12,其他补发!F:F)</f>
        <v>0</v>
      </c>
      <c r="AA12" s="17">
        <f>SUMIF(其他补发!B:B,C12,其他补发!G:G)</f>
        <v>0</v>
      </c>
      <c r="AB12" s="17">
        <f>SUMIF(其他补发!B:B,C12,其他补发!M:M)</f>
        <v>0</v>
      </c>
      <c r="AC12" s="17">
        <f>SUMIF(其他补发!B:B,C12,其他补发!N:N)</f>
        <v>0</v>
      </c>
      <c r="AD12" s="17">
        <f>SUMIF(其他补发!B:B,C12,其他补发!K:K)</f>
        <v>0</v>
      </c>
      <c r="AE12" s="17">
        <f t="shared" si="0"/>
        <v>0</v>
      </c>
      <c r="AF12" s="17">
        <f t="shared" si="1"/>
        <v>20000</v>
      </c>
      <c r="AG12" s="17">
        <f>SUMIF(税后扣款!B:B,C12,税后扣款!E:E)</f>
        <v>0</v>
      </c>
      <c r="AH12" s="17">
        <f>SUMIF(房租水电!A:A,C12,房租水电!C:C)</f>
        <v>0</v>
      </c>
      <c r="AI12" s="17">
        <f>SUMIF(房租水电!A:A,C12,房租水电!D:D)</f>
        <v>0</v>
      </c>
      <c r="AJ12" s="17">
        <f>SUMIF(税后扣款!B:B,C12,税后扣款!D:D)</f>
        <v>0</v>
      </c>
      <c r="AK12" s="17">
        <f t="shared" si="2"/>
        <v>0</v>
      </c>
      <c r="AL12" s="17">
        <f>SUMIF(社会保险!D:D,N12,社会保险!I:I)</f>
        <v>1600</v>
      </c>
      <c r="AM12" s="17">
        <f>SUMIF(社会保险!D:D,N12,社会保险!J:J)</f>
        <v>400</v>
      </c>
      <c r="AN12" s="17">
        <f>SUMIF(社会保险!D:D,N12,社会保险!K:K)</f>
        <v>40</v>
      </c>
      <c r="AO12" s="17">
        <f>SUMIF(公积金!C:C,N12,公积金!L:L)</f>
        <v>1200</v>
      </c>
      <c r="AP12" s="17">
        <f>SUMIF(专项扣除!$B:$B,$C12,专项扣除!D:D)</f>
        <v>0</v>
      </c>
      <c r="AQ12" s="17">
        <f>SUMIF(专项扣除!$B:$B,$C12,专项扣除!E:E)</f>
        <v>0</v>
      </c>
      <c r="AR12" s="17">
        <f>SUMIF(专项扣除!$B:$B,$C12,专项扣除!F:F)</f>
        <v>0</v>
      </c>
      <c r="AS12" s="17">
        <f>SUMIF(专项扣除!$B:$B,$C12,专项扣除!G:G)</f>
        <v>0</v>
      </c>
      <c r="AT12" s="17">
        <f>SUMIF(专项扣除!$B:$B,$C12,专项扣除!H:H)</f>
        <v>0</v>
      </c>
      <c r="AU12" s="17">
        <f>SUMIF(专项扣除!$B:$B,$C12,专项扣除!I:I)</f>
        <v>0</v>
      </c>
      <c r="AV12" s="17">
        <f>SUMIF(专项扣除!$B:$B,$C12,专项扣除!J:J)</f>
        <v>0</v>
      </c>
      <c r="AW12" s="17">
        <v>5000</v>
      </c>
      <c r="AX12" s="17">
        <f t="shared" si="3"/>
        <v>8240</v>
      </c>
      <c r="AY12" s="17">
        <f>SUMIF(上月累计工资累计社保和公积金!C:C,C12,上月累计工资累计社保和公积金!E:E)</f>
        <v>140300</v>
      </c>
      <c r="AZ12" s="17">
        <f t="shared" si="4"/>
        <v>160300</v>
      </c>
      <c r="BA12" s="17">
        <f>SUMIF(上月累计工资累计社保和公积金!C:C,C12,上月累计工资累计社保和公积金!K:K)</f>
        <v>57680</v>
      </c>
      <c r="BB12" s="17">
        <f t="shared" si="5"/>
        <v>65920</v>
      </c>
      <c r="BC12" s="17">
        <f>ROUND(MAX((AZ12-BB12-AP12-AQ12-AR12-AS12-AT12-AU12-AV12)*0.01*{3,10,20,25,30,35,45}-{0,2520,16920,31920,52920,85920,181920},0),2)</f>
        <v>6918</v>
      </c>
      <c r="BD12" s="17">
        <f>SUMIF(上月累计工资累计社保和公积金!C:C,C12,上月累计工资累计社保和公积金!L:L)</f>
        <v>5742</v>
      </c>
      <c r="BE12" s="17">
        <f t="shared" si="6"/>
        <v>1176</v>
      </c>
      <c r="BF12" s="17">
        <f t="shared" si="7"/>
        <v>15584</v>
      </c>
      <c r="BG12" s="231"/>
      <c r="BH12" s="232" t="str">
        <f>VLOOKUP(C12,考勤!C:AL,36,0)</f>
        <v>~@.com</v>
      </c>
      <c r="BI12" s="233">
        <f t="shared" si="8"/>
        <v>0</v>
      </c>
      <c r="BJ12" s="236"/>
      <c r="BK12" s="235"/>
      <c r="BL12" s="235"/>
      <c r="BM12" s="235"/>
      <c r="BN12" s="235"/>
    </row>
    <row r="13" s="202" customFormat="1" ht="15.75" customHeight="1" spans="1:66">
      <c r="A13" s="224">
        <f t="shared" si="9"/>
        <v>11</v>
      </c>
      <c r="B13" s="225" t="s">
        <v>101</v>
      </c>
      <c r="C13" s="226" t="s">
        <v>151</v>
      </c>
      <c r="D13" s="226" t="s">
        <v>152</v>
      </c>
      <c r="E13" s="226" t="s">
        <v>104</v>
      </c>
      <c r="F13" s="226" t="s">
        <v>101</v>
      </c>
      <c r="G13" s="227" t="s">
        <v>66</v>
      </c>
      <c r="H13" s="228">
        <v>45880</v>
      </c>
      <c r="I13" s="229"/>
      <c r="J13" s="230" t="s">
        <v>33</v>
      </c>
      <c r="K13" s="226" t="s">
        <v>115</v>
      </c>
      <c r="L13" s="227">
        <v>1</v>
      </c>
      <c r="M13" s="227" t="s">
        <v>33</v>
      </c>
      <c r="N13" s="17" t="s">
        <v>153</v>
      </c>
      <c r="O13" s="17" t="s">
        <v>154</v>
      </c>
      <c r="P13" s="17">
        <v>25000</v>
      </c>
      <c r="Q13" s="17">
        <f>ROUND(SUMIF(其他补发!B:B,$C13,其他补发!D:D),2)</f>
        <v>0</v>
      </c>
      <c r="R13" s="17">
        <f>ROUND(SUMIF(其他补发!B:B,$C13,其他补发!H:H),2)</f>
        <v>0</v>
      </c>
      <c r="S13" s="17">
        <f>ROUND(SUMIF(其他补发!B:B,$C13,其他补发!I:I),2)</f>
        <v>0</v>
      </c>
      <c r="T13" s="17">
        <f>ROUND(SUMIF(其他补发!B:B,$C13,其他补发!E:E),2)</f>
        <v>0</v>
      </c>
      <c r="U13" s="17">
        <f>ROUND((VLOOKUP(C13,考勤!C:H,6,0)+VLOOKUP(C13,考勤!C:O,13,0)+VLOOKUP(C13,考勤!C:P,14,0)*0.3+VLOOKUP(C13,考勤!C:AA,25,0))*(P13+Q13+R13)/21.75,2)+ROUND((VLOOKUP(C13,考勤!C:V,19,0)+VLOOKUP(C13,考勤!C:V,20,0))*(P13+Q13+R13-2520)/21.75,2)</f>
        <v>0</v>
      </c>
      <c r="V13" s="17">
        <f>ROUND(SUMIF(动态表!C:C,C13,动态表!AA:AA)+SUMIFS(其他补发!L:L,其他补发!B:B,C13),2)</f>
        <v>0</v>
      </c>
      <c r="W13" s="17">
        <f>ROUND(VLOOKUP(C13,考勤!C:K,9,0)*P13/21.75/8*2+VLOOKUP(C13,考勤!C:L,10,0)*P13/21.75/8*3,2)+SUMIFS(加班费!$H:$H,加班费!$D:$D,$C13)</f>
        <v>0</v>
      </c>
      <c r="X13" s="17">
        <f>SUMIF(奖金!D:D,C13,奖金!F:F)</f>
        <v>0</v>
      </c>
      <c r="Y13" s="17">
        <f>SUMIF(其他补发!B:B,C13,其他补发!J:J)</f>
        <v>0</v>
      </c>
      <c r="Z13" s="17">
        <f>SUMIF(其他补发!B:B,C13,其他补发!F:F)</f>
        <v>0</v>
      </c>
      <c r="AA13" s="17">
        <f>SUMIF(其他补发!B:B,C13,其他补发!G:G)</f>
        <v>0</v>
      </c>
      <c r="AB13" s="17">
        <f>SUMIF(其他补发!B:B,C13,其他补发!M:M)</f>
        <v>0</v>
      </c>
      <c r="AC13" s="17">
        <f>SUMIF(其他补发!B:B,C13,其他补发!N:N)</f>
        <v>0</v>
      </c>
      <c r="AD13" s="17">
        <f>SUMIF(其他补发!B:B,C13,其他补发!K:K)</f>
        <v>0</v>
      </c>
      <c r="AE13" s="17">
        <f t="shared" si="0"/>
        <v>0</v>
      </c>
      <c r="AF13" s="17">
        <f t="shared" si="1"/>
        <v>25000</v>
      </c>
      <c r="AG13" s="17">
        <f>SUMIF(税后扣款!B:B,C13,税后扣款!E:E)</f>
        <v>0</v>
      </c>
      <c r="AH13" s="17">
        <f>SUMIF(房租水电!A:A,C13,房租水电!C:C)</f>
        <v>0</v>
      </c>
      <c r="AI13" s="17">
        <f>SUMIF(房租水电!A:A,C13,房租水电!D:D)</f>
        <v>0</v>
      </c>
      <c r="AJ13" s="17">
        <f>SUMIF(税后扣款!B:B,C13,税后扣款!D:D)</f>
        <v>0</v>
      </c>
      <c r="AK13" s="17">
        <f t="shared" si="2"/>
        <v>0</v>
      </c>
      <c r="AL13" s="17">
        <f>SUMIF(社会保险!D:D,N13,社会保险!I:I)</f>
        <v>2000</v>
      </c>
      <c r="AM13" s="17">
        <f>SUMIF(社会保险!D:D,N13,社会保险!J:J)</f>
        <v>500</v>
      </c>
      <c r="AN13" s="17">
        <f>SUMIF(社会保险!D:D,N13,社会保险!K:K)</f>
        <v>50</v>
      </c>
      <c r="AO13" s="17">
        <f>SUMIF(公积金!C:C,N13,公积金!L:L)</f>
        <v>1500</v>
      </c>
      <c r="AP13" s="17">
        <f>SUMIF(专项扣除!$B:$B,$C13,专项扣除!D:D)</f>
        <v>0</v>
      </c>
      <c r="AQ13" s="17">
        <f>SUMIF(专项扣除!$B:$B,$C13,专项扣除!E:E)</f>
        <v>0</v>
      </c>
      <c r="AR13" s="17">
        <f>SUMIF(专项扣除!$B:$B,$C13,专项扣除!F:F)</f>
        <v>0</v>
      </c>
      <c r="AS13" s="17">
        <f>SUMIF(专项扣除!$B:$B,$C13,专项扣除!G:G)</f>
        <v>0</v>
      </c>
      <c r="AT13" s="17">
        <f>SUMIF(专项扣除!$B:$B,$C13,专项扣除!H:H)</f>
        <v>0</v>
      </c>
      <c r="AU13" s="17">
        <f>SUMIF(专项扣除!$B:$B,$C13,专项扣除!I:I)</f>
        <v>0</v>
      </c>
      <c r="AV13" s="17">
        <f>SUMIF(专项扣除!$B:$B,$C13,专项扣除!J:J)</f>
        <v>0</v>
      </c>
      <c r="AW13" s="17">
        <v>5000</v>
      </c>
      <c r="AX13" s="17">
        <f t="shared" si="3"/>
        <v>9050</v>
      </c>
      <c r="AY13" s="17">
        <f>SUMIF(上月累计工资累计社保和公积金!C:C,C13,上月累计工资累计社保和公积金!E:E)</f>
        <v>176050</v>
      </c>
      <c r="AZ13" s="17">
        <f t="shared" si="4"/>
        <v>201050</v>
      </c>
      <c r="BA13" s="17">
        <f>SUMIF(上月累计工资累计社保和公积金!C:C,C13,上月累计工资累计社保和公积金!K:K)</f>
        <v>63350</v>
      </c>
      <c r="BB13" s="17">
        <f t="shared" si="5"/>
        <v>72400</v>
      </c>
      <c r="BC13" s="17">
        <f>ROUND(MAX((AZ13-BB13-AP13-AQ13-AR13-AS13-AT13-AU13-AV13)*0.01*{3,10,20,25,30,35,45}-{0,2520,16920,31920,52920,85920,181920},0),2)</f>
        <v>10345</v>
      </c>
      <c r="BD13" s="17">
        <f>SUMIF(上月累计工资累计社保和公积金!C:C,C13,上月累计工资累计社保和公积金!L:L)</f>
        <v>8750</v>
      </c>
      <c r="BE13" s="17">
        <f t="shared" si="6"/>
        <v>1595</v>
      </c>
      <c r="BF13" s="17">
        <f t="shared" si="7"/>
        <v>19355</v>
      </c>
      <c r="BG13" s="231"/>
      <c r="BH13" s="232" t="str">
        <f>VLOOKUP(C13,考勤!C:AL,36,0)</f>
        <v>～@.com</v>
      </c>
      <c r="BI13" s="233">
        <f t="shared" si="8"/>
        <v>0</v>
      </c>
      <c r="BJ13" s="236"/>
      <c r="BK13" s="235"/>
      <c r="BL13" s="235"/>
      <c r="BM13" s="235"/>
      <c r="BN13" s="235"/>
    </row>
    <row r="14" s="202" customFormat="1" ht="15.75" customHeight="1" spans="1:66">
      <c r="A14" s="224">
        <f t="shared" si="9"/>
        <v>12</v>
      </c>
      <c r="B14" s="225" t="s">
        <v>101</v>
      </c>
      <c r="C14" s="226" t="s">
        <v>155</v>
      </c>
      <c r="D14" s="226" t="s">
        <v>156</v>
      </c>
      <c r="E14" s="226" t="s">
        <v>104</v>
      </c>
      <c r="F14" s="226" t="s">
        <v>101</v>
      </c>
      <c r="G14" s="227" t="s">
        <v>65</v>
      </c>
      <c r="H14" s="228">
        <v>45880</v>
      </c>
      <c r="I14" s="229"/>
      <c r="J14" s="230" t="s">
        <v>36</v>
      </c>
      <c r="K14" s="226" t="s">
        <v>157</v>
      </c>
      <c r="L14" s="227">
        <v>1</v>
      </c>
      <c r="M14" s="227" t="s">
        <v>36</v>
      </c>
      <c r="N14" s="17" t="s">
        <v>158</v>
      </c>
      <c r="O14" s="17" t="s">
        <v>159</v>
      </c>
      <c r="P14" s="17">
        <v>23000</v>
      </c>
      <c r="Q14" s="17">
        <f>ROUND(SUMIF(其他补发!B:B,$C14,其他补发!D:D),2)</f>
        <v>0</v>
      </c>
      <c r="R14" s="17">
        <f>ROUND(SUMIF(其他补发!B:B,$C14,其他补发!H:H),2)</f>
        <v>0</v>
      </c>
      <c r="S14" s="17">
        <f>ROUND(SUMIF(其他补发!B:B,$C14,其他补发!I:I),2)</f>
        <v>0</v>
      </c>
      <c r="T14" s="17">
        <f>ROUND(SUMIF(其他补发!B:B,$C14,其他补发!E:E),2)</f>
        <v>0</v>
      </c>
      <c r="U14" s="17">
        <f>ROUND((VLOOKUP(C14,考勤!C:H,6,0)+VLOOKUP(C14,考勤!C:O,13,0)+VLOOKUP(C14,考勤!C:P,14,0)*0.3+VLOOKUP(C14,考勤!C:AA,25,0))*(P14+Q14+R14)/21.75,2)+ROUND((VLOOKUP(C14,考勤!C:V,19,0)+VLOOKUP(C14,考勤!C:V,20,0))*(P14+Q14+R14-2520)/21.75,2)</f>
        <v>0</v>
      </c>
      <c r="V14" s="17">
        <f>ROUND(SUMIF(动态表!C:C,C14,动态表!AA:AA)+SUMIFS(其他补发!L:L,其他补发!B:B,C14),2)</f>
        <v>0</v>
      </c>
      <c r="W14" s="17">
        <f>ROUND(VLOOKUP(C14,考勤!C:K,9,0)*P14/21.75/8*2+VLOOKUP(C14,考勤!C:L,10,0)*P14/21.75/8*3,2)+SUMIFS(加班费!$H:$H,加班费!$D:$D,$C14)</f>
        <v>0</v>
      </c>
      <c r="X14" s="17">
        <f>SUMIF(奖金!D:D,C14,奖金!F:F)</f>
        <v>0</v>
      </c>
      <c r="Y14" s="17">
        <f>SUMIF(其他补发!B:B,C14,其他补发!J:J)</f>
        <v>0</v>
      </c>
      <c r="Z14" s="17">
        <f>SUMIF(其他补发!B:B,C14,其他补发!F:F)</f>
        <v>0</v>
      </c>
      <c r="AA14" s="17">
        <f>SUMIF(其他补发!B:B,C14,其他补发!G:G)</f>
        <v>0</v>
      </c>
      <c r="AB14" s="17">
        <f>SUMIF(其他补发!B:B,C14,其他补发!M:M)</f>
        <v>0</v>
      </c>
      <c r="AC14" s="17">
        <f>SUMIF(其他补发!B:B,C14,其他补发!N:N)</f>
        <v>0</v>
      </c>
      <c r="AD14" s="17">
        <f>SUMIF(其他补发!B:B,C14,其他补发!K:K)</f>
        <v>0</v>
      </c>
      <c r="AE14" s="17">
        <f t="shared" si="0"/>
        <v>0</v>
      </c>
      <c r="AF14" s="17">
        <f t="shared" si="1"/>
        <v>23000</v>
      </c>
      <c r="AG14" s="17">
        <f>SUMIF(税后扣款!B:B,C14,税后扣款!E:E)</f>
        <v>0</v>
      </c>
      <c r="AH14" s="17">
        <f>SUMIF(房租水电!A:A,C14,房租水电!C:C)</f>
        <v>0</v>
      </c>
      <c r="AI14" s="17">
        <f>SUMIF(房租水电!A:A,C14,房租水电!D:D)</f>
        <v>0</v>
      </c>
      <c r="AJ14" s="17">
        <f>SUMIF(税后扣款!B:B,C14,税后扣款!D:D)</f>
        <v>-160</v>
      </c>
      <c r="AK14" s="17">
        <f t="shared" si="2"/>
        <v>-160</v>
      </c>
      <c r="AL14" s="17">
        <f>SUMIF(社会保险!D:D,N14,社会保险!I:I)</f>
        <v>1840</v>
      </c>
      <c r="AM14" s="17">
        <f>SUMIF(社会保险!D:D,N14,社会保险!J:J)</f>
        <v>460</v>
      </c>
      <c r="AN14" s="17">
        <f>SUMIF(社会保险!D:D,N14,社会保险!K:K)</f>
        <v>46</v>
      </c>
      <c r="AO14" s="17">
        <f>SUMIF(公积金!C:C,N14,公积金!L:L)</f>
        <v>1380</v>
      </c>
      <c r="AP14" s="17">
        <f>SUMIF(专项扣除!$B:$B,$C14,专项扣除!D:D)</f>
        <v>0</v>
      </c>
      <c r="AQ14" s="17">
        <f>SUMIF(专项扣除!$B:$B,$C14,专项扣除!E:E)</f>
        <v>0</v>
      </c>
      <c r="AR14" s="17">
        <f>SUMIF(专项扣除!$B:$B,$C14,专项扣除!F:F)</f>
        <v>0</v>
      </c>
      <c r="AS14" s="17">
        <f>SUMIF(专项扣除!$B:$B,$C14,专项扣除!G:G)</f>
        <v>0</v>
      </c>
      <c r="AT14" s="17">
        <f>SUMIF(专项扣除!$B:$B,$C14,专项扣除!H:H)</f>
        <v>0</v>
      </c>
      <c r="AU14" s="17">
        <f>SUMIF(专项扣除!$B:$B,$C14,专项扣除!I:I)</f>
        <v>0</v>
      </c>
      <c r="AV14" s="17">
        <f>SUMIF(专项扣除!$B:$B,$C14,专项扣除!J:J)</f>
        <v>0</v>
      </c>
      <c r="AW14" s="17">
        <v>5000</v>
      </c>
      <c r="AX14" s="17">
        <f t="shared" si="3"/>
        <v>8726</v>
      </c>
      <c r="AY14" s="17">
        <f>SUMIF(上月累计工资累计社保和公积金!C:C,C14,上月累计工资累计社保和公积金!E:E)</f>
        <v>161182.76</v>
      </c>
      <c r="AZ14" s="17">
        <f t="shared" si="4"/>
        <v>184182.76</v>
      </c>
      <c r="BA14" s="17">
        <f>SUMIF(上月累计工资累计社保和公积金!C:C,C14,上月累计工资累计社保和公积金!K:K)</f>
        <v>61082</v>
      </c>
      <c r="BB14" s="17">
        <f t="shared" si="5"/>
        <v>69808</v>
      </c>
      <c r="BC14" s="17">
        <f>ROUND(MAX((AZ14-BB14-AP14-AQ14-AR14-AS14-AT14-AU14-AV14)*0.01*{3,10,20,25,30,35,45}-{0,2520,16920,31920,52920,85920,181920},0),2)</f>
        <v>8917.48</v>
      </c>
      <c r="BD14" s="17">
        <f>SUMIF(上月累计工资累计社保和公积金!C:C,C14,上月累计工资累计社保和公积金!L:L)</f>
        <v>7490.08</v>
      </c>
      <c r="BE14" s="17">
        <f t="shared" si="6"/>
        <v>1427.4</v>
      </c>
      <c r="BF14" s="17">
        <f t="shared" si="7"/>
        <v>18006.6</v>
      </c>
      <c r="BG14" s="231"/>
      <c r="BH14" s="232" t="str">
        <f>VLOOKUP(C14,考勤!C:AL,36,0)</f>
        <v>~@.com</v>
      </c>
      <c r="BI14" s="233">
        <f t="shared" si="8"/>
        <v>0</v>
      </c>
      <c r="BJ14" s="236"/>
      <c r="BK14" s="235"/>
      <c r="BL14" s="235"/>
      <c r="BM14" s="235"/>
      <c r="BN14" s="235"/>
    </row>
    <row r="15" s="202" customFormat="1" ht="15.75" customHeight="1" spans="1:66">
      <c r="A15" s="224">
        <f t="shared" si="9"/>
        <v>13</v>
      </c>
      <c r="B15" s="225" t="s">
        <v>101</v>
      </c>
      <c r="C15" s="226" t="s">
        <v>160</v>
      </c>
      <c r="D15" s="226" t="s">
        <v>161</v>
      </c>
      <c r="E15" s="226" t="s">
        <v>104</v>
      </c>
      <c r="F15" s="226" t="s">
        <v>101</v>
      </c>
      <c r="G15" s="227" t="s">
        <v>65</v>
      </c>
      <c r="H15" s="228">
        <v>45882</v>
      </c>
      <c r="I15" s="229"/>
      <c r="J15" s="230" t="s">
        <v>36</v>
      </c>
      <c r="K15" s="226" t="s">
        <v>162</v>
      </c>
      <c r="L15" s="227">
        <v>1</v>
      </c>
      <c r="M15" s="227" t="s">
        <v>36</v>
      </c>
      <c r="N15" s="17" t="s">
        <v>163</v>
      </c>
      <c r="O15" s="17" t="s">
        <v>164</v>
      </c>
      <c r="P15" s="17">
        <v>21000</v>
      </c>
      <c r="Q15" s="17">
        <f>ROUND(SUMIF(其他补发!B:B,$C15,其他补发!D:D),2)</f>
        <v>0</v>
      </c>
      <c r="R15" s="17">
        <f>ROUND(SUMIF(其他补发!B:B,$C15,其他补发!H:H),2)</f>
        <v>0</v>
      </c>
      <c r="S15" s="17">
        <f>ROUND(SUMIF(其他补发!B:B,$C15,其他补发!I:I),2)</f>
        <v>0</v>
      </c>
      <c r="T15" s="17">
        <f>ROUND(SUMIF(其他补发!B:B,$C15,其他补发!E:E),2)</f>
        <v>0</v>
      </c>
      <c r="U15" s="17">
        <f>ROUND((VLOOKUP(C15,考勤!C:H,6,0)+VLOOKUP(C15,考勤!C:O,13,0)+VLOOKUP(C15,考勤!C:P,14,0)*0.3+VLOOKUP(C15,考勤!C:AA,25,0))*(P15+Q15+R15)/21.75,2)+ROUND((VLOOKUP(C15,考勤!C:V,19,0)+VLOOKUP(C15,考勤!C:V,20,0))*(P15+Q15+R15-2520)/21.75,2)</f>
        <v>0</v>
      </c>
      <c r="V15" s="17">
        <f>ROUND(SUMIF(动态表!C:C,C15,动态表!AA:AA)+SUMIFS(其他补发!L:L,其他补发!B:B,C15),2)</f>
        <v>0</v>
      </c>
      <c r="W15" s="17">
        <f>ROUND(VLOOKUP(C15,考勤!C:K,9,0)*P15/21.75/8*2+VLOOKUP(C15,考勤!C:L,10,0)*P15/21.75/8*3,2)+SUMIFS(加班费!$H:$H,加班费!$D:$D,$C15)</f>
        <v>0</v>
      </c>
      <c r="X15" s="17">
        <f>SUMIF(奖金!D:D,C15,奖金!F:F)</f>
        <v>0</v>
      </c>
      <c r="Y15" s="17">
        <f>SUMIF(其他补发!B:B,C15,其他补发!J:J)</f>
        <v>0</v>
      </c>
      <c r="Z15" s="17">
        <f>SUMIF(其他补发!B:B,C15,其他补发!F:F)</f>
        <v>0</v>
      </c>
      <c r="AA15" s="17">
        <f>SUMIF(其他补发!B:B,C15,其他补发!G:G)</f>
        <v>0</v>
      </c>
      <c r="AB15" s="17">
        <f>SUMIF(其他补发!B:B,C15,其他补发!M:M)</f>
        <v>0</v>
      </c>
      <c r="AC15" s="17">
        <f>SUMIF(其他补发!B:B,C15,其他补发!N:N)</f>
        <v>0</v>
      </c>
      <c r="AD15" s="17">
        <f>SUMIF(其他补发!B:B,C15,其他补发!K:K)</f>
        <v>0</v>
      </c>
      <c r="AE15" s="17">
        <f t="shared" si="0"/>
        <v>0</v>
      </c>
      <c r="AF15" s="17">
        <f t="shared" si="1"/>
        <v>21000</v>
      </c>
      <c r="AG15" s="17">
        <f>SUMIF(税后扣款!B:B,C15,税后扣款!E:E)</f>
        <v>0</v>
      </c>
      <c r="AH15" s="17">
        <f>SUMIF(房租水电!A:A,C15,房租水电!C:C)</f>
        <v>0</v>
      </c>
      <c r="AI15" s="17">
        <f>SUMIF(房租水电!A:A,C15,房租水电!D:D)</f>
        <v>0</v>
      </c>
      <c r="AJ15" s="17">
        <f>SUMIF(税后扣款!B:B,C15,税后扣款!D:D)</f>
        <v>-160</v>
      </c>
      <c r="AK15" s="17">
        <f t="shared" si="2"/>
        <v>-160</v>
      </c>
      <c r="AL15" s="17">
        <f>SUMIF(社会保险!D:D,N15,社会保险!I:I)</f>
        <v>1680</v>
      </c>
      <c r="AM15" s="17">
        <f>SUMIF(社会保险!D:D,N15,社会保险!J:J)</f>
        <v>420</v>
      </c>
      <c r="AN15" s="17">
        <f>SUMIF(社会保险!D:D,N15,社会保险!K:K)</f>
        <v>42</v>
      </c>
      <c r="AO15" s="17">
        <f>SUMIF(公积金!C:C,N15,公积金!L:L)</f>
        <v>1200</v>
      </c>
      <c r="AP15" s="17">
        <f>SUMIF(专项扣除!$B:$B,$C15,专项扣除!D:D)</f>
        <v>14000</v>
      </c>
      <c r="AQ15" s="17">
        <f>SUMIF(专项扣除!$B:$B,$C15,专项扣除!E:E)</f>
        <v>0</v>
      </c>
      <c r="AR15" s="17">
        <f>SUMIF(专项扣除!$B:$B,$C15,专项扣除!F:F)</f>
        <v>0</v>
      </c>
      <c r="AS15" s="17">
        <f>SUMIF(专项扣除!$B:$B,$C15,专项扣除!G:G)</f>
        <v>0</v>
      </c>
      <c r="AT15" s="17">
        <f>SUMIF(专项扣除!$B:$B,$C15,专项扣除!H:H)</f>
        <v>21000</v>
      </c>
      <c r="AU15" s="17">
        <f>SUMIF(专项扣除!$B:$B,$C15,专项扣除!I:I)</f>
        <v>0</v>
      </c>
      <c r="AV15" s="17">
        <f>SUMIF(专项扣除!$B:$B,$C15,专项扣除!J:J)</f>
        <v>0</v>
      </c>
      <c r="AW15" s="17">
        <v>5000</v>
      </c>
      <c r="AX15" s="17">
        <f t="shared" si="3"/>
        <v>8342</v>
      </c>
      <c r="AY15" s="17">
        <f>SUMIF(上月累计工资累计社保和公积金!C:C,C15,上月累计工资累计社保和公积金!E:E)</f>
        <v>143500</v>
      </c>
      <c r="AZ15" s="17">
        <f t="shared" si="4"/>
        <v>164500</v>
      </c>
      <c r="BA15" s="17">
        <f>SUMIF(上月累计工资累计社保和公积金!C:C,C15,上月累计工资累计社保和公积金!K:K)</f>
        <v>57986</v>
      </c>
      <c r="BB15" s="17">
        <f t="shared" si="5"/>
        <v>66328</v>
      </c>
      <c r="BC15" s="17">
        <f>ROUND(MAX((AZ15-BB15-AP15-AQ15-AR15-AS15-AT15-AU15-AV15)*0.01*{3,10,20,25,30,35,45}-{0,2520,16920,31920,52920,85920,181920},0),2)</f>
        <v>3797.2</v>
      </c>
      <c r="BD15" s="17">
        <f>SUMIF(上月累计工资累计社保和公积金!C:C,C15,上月累计工资累计社保和公积金!L:L)</f>
        <v>2531.4</v>
      </c>
      <c r="BE15" s="17">
        <f t="shared" si="6"/>
        <v>1265.8</v>
      </c>
      <c r="BF15" s="17">
        <f t="shared" si="7"/>
        <v>16552.2</v>
      </c>
      <c r="BG15" s="231"/>
      <c r="BH15" s="232" t="str">
        <f>VLOOKUP(C15,考勤!C:AL,36,0)</f>
        <v>~@.com</v>
      </c>
      <c r="BI15" s="233">
        <f t="shared" si="8"/>
        <v>0</v>
      </c>
      <c r="BJ15" s="236"/>
      <c r="BK15" s="235"/>
      <c r="BL15" s="235"/>
      <c r="BM15" s="235"/>
      <c r="BN15" s="235"/>
    </row>
    <row r="16" s="202" customFormat="1" ht="15.75" customHeight="1" spans="1:66">
      <c r="A16" s="224">
        <f t="shared" si="9"/>
        <v>14</v>
      </c>
      <c r="B16" s="225" t="s">
        <v>101</v>
      </c>
      <c r="C16" s="226" t="s">
        <v>165</v>
      </c>
      <c r="D16" s="226" t="s">
        <v>166</v>
      </c>
      <c r="E16" s="226" t="s">
        <v>104</v>
      </c>
      <c r="F16" s="226" t="s">
        <v>101</v>
      </c>
      <c r="G16" s="227" t="s">
        <v>65</v>
      </c>
      <c r="H16" s="228">
        <v>45882</v>
      </c>
      <c r="I16" s="229"/>
      <c r="J16" s="230" t="s">
        <v>36</v>
      </c>
      <c r="K16" s="226" t="s">
        <v>167</v>
      </c>
      <c r="L16" s="227">
        <v>1</v>
      </c>
      <c r="M16" s="227" t="s">
        <v>36</v>
      </c>
      <c r="N16" s="17" t="s">
        <v>168</v>
      </c>
      <c r="O16" s="17" t="s">
        <v>169</v>
      </c>
      <c r="P16" s="17">
        <v>24000</v>
      </c>
      <c r="Q16" s="17">
        <f>ROUND(SUMIF(其他补发!B:B,$C16,其他补发!D:D),2)</f>
        <v>0</v>
      </c>
      <c r="R16" s="17">
        <f>ROUND(SUMIF(其他补发!B:B,$C16,其他补发!H:H),2)</f>
        <v>0</v>
      </c>
      <c r="S16" s="17">
        <f>ROUND(SUMIF(其他补发!B:B,$C16,其他补发!I:I),2)</f>
        <v>0</v>
      </c>
      <c r="T16" s="17">
        <f>ROUND(SUMIF(其他补发!B:B,$C16,其他补发!E:E),2)</f>
        <v>0</v>
      </c>
      <c r="U16" s="17">
        <f>ROUND((VLOOKUP(C16,考勤!C:H,6,0)+VLOOKUP(C16,考勤!C:O,13,0)+VLOOKUP(C16,考勤!C:P,14,0)*0.3+VLOOKUP(C16,考勤!C:AA,25,0))*(P16+Q16+R16)/21.75,2)+ROUND((VLOOKUP(C16,考勤!C:V,19,0)+VLOOKUP(C16,考勤!C:V,20,0))*(P16+Q16+R16-2520)/21.75,2)</f>
        <v>0</v>
      </c>
      <c r="V16" s="17">
        <f>ROUND(SUMIF(动态表!C:C,C16,动态表!AA:AA)+SUMIFS(其他补发!L:L,其他补发!B:B,C16),2)</f>
        <v>0</v>
      </c>
      <c r="W16" s="17">
        <f>ROUND(VLOOKUP(C16,考勤!C:K,9,0)*P16/21.75/8*2+VLOOKUP(C16,考勤!C:L,10,0)*P16/21.75/8*3,2)+SUMIFS(加班费!$H:$H,加班费!$D:$D,$C16)</f>
        <v>0</v>
      </c>
      <c r="X16" s="17">
        <f>SUMIF(奖金!D:D,C16,奖金!F:F)</f>
        <v>0</v>
      </c>
      <c r="Y16" s="17">
        <f>SUMIF(其他补发!B:B,C16,其他补发!J:J)</f>
        <v>0</v>
      </c>
      <c r="Z16" s="17">
        <f>SUMIF(其他补发!B:B,C16,其他补发!F:F)</f>
        <v>0</v>
      </c>
      <c r="AA16" s="17">
        <f>SUMIF(其他补发!B:B,C16,其他补发!G:G)</f>
        <v>0</v>
      </c>
      <c r="AB16" s="17">
        <f>SUMIF(其他补发!B:B,C16,其他补发!M:M)</f>
        <v>0</v>
      </c>
      <c r="AC16" s="17">
        <f>SUMIF(其他补发!B:B,C16,其他补发!N:N)</f>
        <v>0</v>
      </c>
      <c r="AD16" s="17">
        <f>SUMIF(其他补发!B:B,C16,其他补发!K:K)</f>
        <v>0</v>
      </c>
      <c r="AE16" s="17">
        <f t="shared" si="0"/>
        <v>0</v>
      </c>
      <c r="AF16" s="17">
        <f t="shared" si="1"/>
        <v>24000</v>
      </c>
      <c r="AG16" s="17">
        <f>SUMIF(税后扣款!B:B,C16,税后扣款!E:E)</f>
        <v>0</v>
      </c>
      <c r="AH16" s="17">
        <f>SUMIF(房租水电!A:A,C16,房租水电!C:C)</f>
        <v>0</v>
      </c>
      <c r="AI16" s="17">
        <f>SUMIF(房租水电!A:A,C16,房租水电!D:D)</f>
        <v>0</v>
      </c>
      <c r="AJ16" s="17">
        <f>SUMIF(税后扣款!B:B,C16,税后扣款!D:D)</f>
        <v>0</v>
      </c>
      <c r="AK16" s="17">
        <f t="shared" si="2"/>
        <v>0</v>
      </c>
      <c r="AL16" s="17">
        <f>SUMIF(社会保险!D:D,N16,社会保险!I:I)</f>
        <v>1920</v>
      </c>
      <c r="AM16" s="17">
        <f>SUMIF(社会保险!D:D,N16,社会保险!J:J)</f>
        <v>480</v>
      </c>
      <c r="AN16" s="17">
        <f>SUMIF(社会保险!D:D,N16,社会保险!K:K)</f>
        <v>48</v>
      </c>
      <c r="AO16" s="17">
        <f>SUMIF(公积金!C:C,N16,公积金!L:L)</f>
        <v>2640</v>
      </c>
      <c r="AP16" s="17">
        <f>SUMIF(专项扣除!$B:$B,$C16,专项扣除!D:D)</f>
        <v>0</v>
      </c>
      <c r="AQ16" s="17">
        <f>SUMIF(专项扣除!$B:$B,$C16,专项扣除!E:E)</f>
        <v>0</v>
      </c>
      <c r="AR16" s="17">
        <f>SUMIF(专项扣除!$B:$B,$C16,专项扣除!F:F)</f>
        <v>0</v>
      </c>
      <c r="AS16" s="17">
        <f>SUMIF(专项扣除!$B:$B,$C16,专项扣除!G:G)</f>
        <v>0</v>
      </c>
      <c r="AT16" s="17">
        <f>SUMIF(专项扣除!$B:$B,$C16,专项扣除!H:H)</f>
        <v>0</v>
      </c>
      <c r="AU16" s="17">
        <f>SUMIF(专项扣除!$B:$B,$C16,专项扣除!I:I)</f>
        <v>0</v>
      </c>
      <c r="AV16" s="17">
        <f>SUMIF(专项扣除!$B:$B,$C16,专项扣除!J:J)</f>
        <v>0</v>
      </c>
      <c r="AW16" s="17">
        <v>5000</v>
      </c>
      <c r="AX16" s="17">
        <f t="shared" si="3"/>
        <v>10088</v>
      </c>
      <c r="AY16" s="17">
        <f>SUMIF(上月累计工资累计社保和公积金!C:C,C16,上月累计工资累计社保和公积金!E:E)</f>
        <v>160500</v>
      </c>
      <c r="AZ16" s="17">
        <f t="shared" si="4"/>
        <v>184500</v>
      </c>
      <c r="BA16" s="17">
        <f>SUMIF(上月累计工资累计社保和公积金!C:C,C16,上月累计工资累计社保和公积金!K:K)</f>
        <v>60560</v>
      </c>
      <c r="BB16" s="17">
        <f t="shared" si="5"/>
        <v>70648</v>
      </c>
      <c r="BC16" s="17">
        <f>ROUND(MAX((AZ16-BB16-AP16-AQ16-AR16-AS16-AT16-AU16-AV16)*0.01*{3,10,20,25,30,35,45}-{0,2520,16920,31920,52920,85920,181920},0),2)</f>
        <v>8865.2</v>
      </c>
      <c r="BD16" s="17">
        <f>SUMIF(上月累计工资累计社保和公积金!C:C,C16,上月累计工资累计社保和公积金!L:L)</f>
        <v>7474</v>
      </c>
      <c r="BE16" s="17">
        <f t="shared" si="6"/>
        <v>1391.2</v>
      </c>
      <c r="BF16" s="17">
        <f t="shared" si="7"/>
        <v>17520.8</v>
      </c>
      <c r="BG16" s="231"/>
      <c r="BH16" s="232" t="str">
        <f>VLOOKUP(C16,考勤!C:AL,36,0)</f>
        <v>～@.com</v>
      </c>
      <c r="BI16" s="233">
        <f t="shared" si="8"/>
        <v>0</v>
      </c>
      <c r="BJ16" s="236"/>
      <c r="BK16" s="235"/>
      <c r="BL16" s="235"/>
      <c r="BM16" s="235"/>
      <c r="BN16" s="235"/>
    </row>
    <row r="17" s="202" customFormat="1" ht="15.75" customHeight="1" spans="1:66">
      <c r="A17" s="224">
        <f t="shared" si="9"/>
        <v>15</v>
      </c>
      <c r="B17" s="225" t="s">
        <v>101</v>
      </c>
      <c r="C17" s="226" t="s">
        <v>170</v>
      </c>
      <c r="D17" s="226" t="s">
        <v>171</v>
      </c>
      <c r="E17" s="226" t="s">
        <v>104</v>
      </c>
      <c r="F17" s="226" t="s">
        <v>101</v>
      </c>
      <c r="G17" s="227" t="s">
        <v>65</v>
      </c>
      <c r="H17" s="228">
        <v>45894</v>
      </c>
      <c r="I17" s="229"/>
      <c r="J17" s="230" t="s">
        <v>36</v>
      </c>
      <c r="K17" s="226" t="s">
        <v>172</v>
      </c>
      <c r="L17" s="227">
        <v>1</v>
      </c>
      <c r="M17" s="227" t="s">
        <v>36</v>
      </c>
      <c r="N17" s="17" t="s">
        <v>173</v>
      </c>
      <c r="O17" s="17" t="s">
        <v>174</v>
      </c>
      <c r="P17" s="17">
        <v>16000</v>
      </c>
      <c r="Q17" s="17">
        <f>ROUND(SUMIF(其他补发!B:B,$C17,其他补发!D:D),2)</f>
        <v>0</v>
      </c>
      <c r="R17" s="17">
        <f>ROUND(SUMIF(其他补发!B:B,$C17,其他补发!H:H),2)</f>
        <v>0</v>
      </c>
      <c r="S17" s="17">
        <f>ROUND(SUMIF(其他补发!B:B,$C17,其他补发!I:I),2)</f>
        <v>0</v>
      </c>
      <c r="T17" s="17">
        <f>ROUND(SUMIF(其他补发!B:B,$C17,其他补发!E:E),2)</f>
        <v>0</v>
      </c>
      <c r="U17" s="17">
        <f>ROUND((VLOOKUP(C17,考勤!C:H,6,0)+VLOOKUP(C17,考勤!C:O,13,0)+VLOOKUP(C17,考勤!C:P,14,0)*0.3+VLOOKUP(C17,考勤!C:AA,25,0))*(P17+Q17+R17)/21.75,2)+ROUND((VLOOKUP(C17,考勤!C:V,19,0)+VLOOKUP(C17,考勤!C:V,20,0))*(P17+Q17+R17-2520)/21.75,2)</f>
        <v>0</v>
      </c>
      <c r="V17" s="17">
        <f>ROUND(SUMIF(动态表!C:C,C17,动态表!AA:AA)+SUMIFS(其他补发!L:L,其他补发!B:B,C17),2)</f>
        <v>0</v>
      </c>
      <c r="W17" s="17">
        <f>ROUND(VLOOKUP(C17,考勤!C:K,9,0)*P17/21.75/8*2+VLOOKUP(C17,考勤!C:L,10,0)*P17/21.75/8*3,2)+SUMIFS(加班费!$H:$H,加班费!$D:$D,$C17)</f>
        <v>0</v>
      </c>
      <c r="X17" s="17">
        <f>SUMIF(奖金!D:D,C17,奖金!F:F)</f>
        <v>0</v>
      </c>
      <c r="Y17" s="17">
        <f>SUMIF(其他补发!B:B,C17,其他补发!J:J)</f>
        <v>0</v>
      </c>
      <c r="Z17" s="17">
        <f>SUMIF(其他补发!B:B,C17,其他补发!F:F)</f>
        <v>0</v>
      </c>
      <c r="AA17" s="17">
        <f>SUMIF(其他补发!B:B,C17,其他补发!G:G)</f>
        <v>0</v>
      </c>
      <c r="AB17" s="17">
        <f>SUMIF(其他补发!B:B,C17,其他补发!M:M)</f>
        <v>0</v>
      </c>
      <c r="AC17" s="17">
        <f>SUMIF(其他补发!B:B,C17,其他补发!N:N)</f>
        <v>0</v>
      </c>
      <c r="AD17" s="17">
        <f>SUMIF(其他补发!B:B,C17,其他补发!K:K)</f>
        <v>0</v>
      </c>
      <c r="AE17" s="17">
        <f t="shared" si="0"/>
        <v>0</v>
      </c>
      <c r="AF17" s="17">
        <f t="shared" si="1"/>
        <v>16000</v>
      </c>
      <c r="AG17" s="17">
        <f>SUMIF(税后扣款!B:B,C17,税后扣款!E:E)</f>
        <v>0</v>
      </c>
      <c r="AH17" s="17">
        <f>SUMIF(房租水电!A:A,C17,房租水电!C:C)</f>
        <v>0</v>
      </c>
      <c r="AI17" s="17">
        <f>SUMIF(房租水电!A:A,C17,房租水电!D:D)</f>
        <v>0</v>
      </c>
      <c r="AJ17" s="17">
        <f>SUMIF(税后扣款!B:B,C17,税后扣款!D:D)</f>
        <v>-160</v>
      </c>
      <c r="AK17" s="17">
        <f t="shared" si="2"/>
        <v>-160</v>
      </c>
      <c r="AL17" s="17">
        <f>SUMIF(社会保险!D:D,N17,社会保险!I:I)</f>
        <v>1280</v>
      </c>
      <c r="AM17" s="17">
        <f>SUMIF(社会保险!D:D,N17,社会保险!J:J)</f>
        <v>320</v>
      </c>
      <c r="AN17" s="17">
        <f>SUMIF(社会保险!D:D,N17,社会保险!K:K)</f>
        <v>32</v>
      </c>
      <c r="AO17" s="17">
        <f>SUMIF(公积金!C:C,N17,公积金!L:L)</f>
        <v>900</v>
      </c>
      <c r="AP17" s="17">
        <f>SUMIF(专项扣除!$B:$B,$C17,专项扣除!D:D)</f>
        <v>0</v>
      </c>
      <c r="AQ17" s="17">
        <f>SUMIF(专项扣除!$B:$B,$C17,专项扣除!E:E)</f>
        <v>0</v>
      </c>
      <c r="AR17" s="17">
        <f>SUMIF(专项扣除!$B:$B,$C17,专项扣除!F:F)</f>
        <v>0</v>
      </c>
      <c r="AS17" s="17">
        <f>SUMIF(专项扣除!$B:$B,$C17,专项扣除!G:G)</f>
        <v>0</v>
      </c>
      <c r="AT17" s="17">
        <f>SUMIF(专项扣除!$B:$B,$C17,专项扣除!H:H)</f>
        <v>0</v>
      </c>
      <c r="AU17" s="17">
        <f>SUMIF(专项扣除!$B:$B,$C17,专项扣除!I:I)</f>
        <v>0</v>
      </c>
      <c r="AV17" s="17">
        <f>SUMIF(专项扣除!$B:$B,$C17,专项扣除!J:J)</f>
        <v>0</v>
      </c>
      <c r="AW17" s="17">
        <v>5000</v>
      </c>
      <c r="AX17" s="17">
        <f t="shared" si="3"/>
        <v>7532</v>
      </c>
      <c r="AY17" s="17">
        <f>SUMIF(上月累计工资累计社保和公积金!C:C,C17,上月累计工资累计社保和公积金!E:E)</f>
        <v>108500</v>
      </c>
      <c r="AZ17" s="17">
        <f t="shared" si="4"/>
        <v>124500</v>
      </c>
      <c r="BA17" s="17">
        <f>SUMIF(上月累计工资累计社保和公积金!C:C,C17,上月累计工资累计社保和公积金!K:K)</f>
        <v>52316</v>
      </c>
      <c r="BB17" s="17">
        <f t="shared" si="5"/>
        <v>59848</v>
      </c>
      <c r="BC17" s="17">
        <f>ROUND(MAX((AZ17-BB17-AP17-AQ17-AR17-AS17-AT17-AU17-AV17)*0.01*{3,10,20,25,30,35,45}-{0,2520,16920,31920,52920,85920,181920},0),2)</f>
        <v>3945.2</v>
      </c>
      <c r="BD17" s="17">
        <f>SUMIF(上月累计工资累计社保和公积金!C:C,C17,上月累计工资累计社保和公积金!L:L)</f>
        <v>3098.4</v>
      </c>
      <c r="BE17" s="17">
        <f t="shared" si="6"/>
        <v>846.8</v>
      </c>
      <c r="BF17" s="17">
        <f t="shared" si="7"/>
        <v>12781.2</v>
      </c>
      <c r="BG17" s="231"/>
      <c r="BH17" s="232" t="str">
        <f>VLOOKUP(C17,考勤!C:AL,36,0)</f>
        <v>Cecilia@youdoogo.com</v>
      </c>
      <c r="BI17" s="233">
        <f t="shared" si="8"/>
        <v>0</v>
      </c>
      <c r="BJ17" s="236"/>
      <c r="BK17" s="235"/>
      <c r="BL17" s="235"/>
      <c r="BM17" s="235"/>
      <c r="BN17" s="235"/>
    </row>
    <row r="18" s="202" customFormat="1" ht="15.75" customHeight="1" spans="1:66">
      <c r="A18" s="224">
        <f t="shared" si="9"/>
        <v>16</v>
      </c>
      <c r="B18" s="225" t="s">
        <v>101</v>
      </c>
      <c r="C18" s="226" t="s">
        <v>175</v>
      </c>
      <c r="D18" s="226" t="s">
        <v>176</v>
      </c>
      <c r="E18" s="226" t="s">
        <v>104</v>
      </c>
      <c r="F18" s="226" t="s">
        <v>101</v>
      </c>
      <c r="G18" s="227" t="s">
        <v>63</v>
      </c>
      <c r="H18" s="228">
        <v>45903</v>
      </c>
      <c r="I18" s="229"/>
      <c r="J18" s="230" t="s">
        <v>33</v>
      </c>
      <c r="K18" s="226" t="s">
        <v>177</v>
      </c>
      <c r="L18" s="227">
        <v>1</v>
      </c>
      <c r="M18" s="227" t="s">
        <v>33</v>
      </c>
      <c r="N18" s="17" t="s">
        <v>178</v>
      </c>
      <c r="O18" s="17" t="s">
        <v>179</v>
      </c>
      <c r="P18" s="17">
        <v>27000</v>
      </c>
      <c r="Q18" s="17">
        <f>ROUND(SUMIF(其他补发!B:B,$C18,其他补发!D:D),2)</f>
        <v>0</v>
      </c>
      <c r="R18" s="17">
        <f>ROUND(SUMIF(其他补发!B:B,$C18,其他补发!H:H),2)</f>
        <v>0</v>
      </c>
      <c r="S18" s="17">
        <f>ROUND(SUMIF(其他补发!B:B,$C18,其他补发!I:I),2)</f>
        <v>0</v>
      </c>
      <c r="T18" s="17">
        <f>ROUND(SUMIF(其他补发!B:B,$C18,其他补发!E:E),2)</f>
        <v>0</v>
      </c>
      <c r="U18" s="17">
        <f>ROUND((VLOOKUP(C18,考勤!C:H,6,0)+VLOOKUP(C18,考勤!C:O,13,0)+VLOOKUP(C18,考勤!C:P,14,0)*0.3+VLOOKUP(C18,考勤!C:AA,25,0))*(P18+Q18+R18)/21.75,2)+ROUND((VLOOKUP(C18,考勤!C:V,19,0)+VLOOKUP(C18,考勤!C:V,20,0))*(P18+Q18+R18-2520)/21.75,2)</f>
        <v>0</v>
      </c>
      <c r="V18" s="17">
        <f>ROUND(SUMIF(动态表!C:C,C18,动态表!AA:AA)+SUMIFS(其他补发!L:L,其他补发!B:B,C18),2)</f>
        <v>0</v>
      </c>
      <c r="W18" s="17">
        <f>ROUND(VLOOKUP(C18,考勤!C:K,9,0)*P18/21.75/8*2+VLOOKUP(C18,考勤!C:L,10,0)*P18/21.75/8*3,2)+SUMIFS(加班费!$H:$H,加班费!$D:$D,$C18)</f>
        <v>0</v>
      </c>
      <c r="X18" s="17">
        <f>SUMIF(奖金!D:D,C18,奖金!F:F)</f>
        <v>0</v>
      </c>
      <c r="Y18" s="17">
        <f>SUMIF(其他补发!B:B,C18,其他补发!J:J)</f>
        <v>0</v>
      </c>
      <c r="Z18" s="17">
        <f>SUMIF(其他补发!B:B,C18,其他补发!F:F)</f>
        <v>0</v>
      </c>
      <c r="AA18" s="17">
        <f>SUMIF(其他补发!B:B,C18,其他补发!G:G)</f>
        <v>0</v>
      </c>
      <c r="AB18" s="17">
        <f>SUMIF(其他补发!B:B,C18,其他补发!M:M)</f>
        <v>0</v>
      </c>
      <c r="AC18" s="17">
        <f>SUMIF(其他补发!B:B,C18,其他补发!N:N)</f>
        <v>0</v>
      </c>
      <c r="AD18" s="17">
        <f>SUMIF(其他补发!B:B,C18,其他补发!K:K)</f>
        <v>0</v>
      </c>
      <c r="AE18" s="17">
        <f t="shared" si="0"/>
        <v>0</v>
      </c>
      <c r="AF18" s="17">
        <f t="shared" si="1"/>
        <v>27000</v>
      </c>
      <c r="AG18" s="17">
        <f>SUMIF(税后扣款!B:B,C18,税后扣款!E:E)</f>
        <v>0</v>
      </c>
      <c r="AH18" s="17">
        <f>SUMIF(房租水电!A:A,C18,房租水电!C:C)</f>
        <v>0</v>
      </c>
      <c r="AI18" s="17">
        <f>SUMIF(房租水电!A:A,C18,房租水电!D:D)</f>
        <v>0</v>
      </c>
      <c r="AJ18" s="17">
        <f>SUMIF(税后扣款!B:B,C18,税后扣款!D:D)</f>
        <v>-240</v>
      </c>
      <c r="AK18" s="17">
        <f t="shared" si="2"/>
        <v>-240</v>
      </c>
      <c r="AL18" s="17">
        <f>SUMIF(社会保险!D:D,N18,社会保险!I:I)</f>
        <v>2160</v>
      </c>
      <c r="AM18" s="17">
        <f>SUMIF(社会保险!D:D,N18,社会保险!J:J)</f>
        <v>540</v>
      </c>
      <c r="AN18" s="17">
        <f>SUMIF(社会保险!D:D,N18,社会保险!K:K)</f>
        <v>54</v>
      </c>
      <c r="AO18" s="17">
        <f>SUMIF(公积金!C:C,N18,公积金!L:L)</f>
        <v>1500</v>
      </c>
      <c r="AP18" s="17">
        <f>SUMIF(专项扣除!$B:$B,$C18,专项扣除!D:D)</f>
        <v>0</v>
      </c>
      <c r="AQ18" s="17">
        <f>SUMIF(专项扣除!$B:$B,$C18,专项扣除!E:E)</f>
        <v>0</v>
      </c>
      <c r="AR18" s="17">
        <f>SUMIF(专项扣除!$B:$B,$C18,专项扣除!F:F)</f>
        <v>0</v>
      </c>
      <c r="AS18" s="17">
        <f>SUMIF(专项扣除!$B:$B,$C18,专项扣除!G:G)</f>
        <v>0</v>
      </c>
      <c r="AT18" s="17">
        <f>SUMIF(专项扣除!$B:$B,$C18,专项扣除!H:H)</f>
        <v>0</v>
      </c>
      <c r="AU18" s="17">
        <f>SUMIF(专项扣除!$B:$B,$C18,专项扣除!I:I)</f>
        <v>0</v>
      </c>
      <c r="AV18" s="17">
        <f>SUMIF(专项扣除!$B:$B,$C18,专项扣除!J:J)</f>
        <v>0</v>
      </c>
      <c r="AW18" s="17">
        <v>5000</v>
      </c>
      <c r="AX18" s="17">
        <f t="shared" si="3"/>
        <v>9254</v>
      </c>
      <c r="AY18" s="17">
        <f>SUMIF(上月累计工资累计社保和公积金!C:C,C18,上月累计工资累计社保和公积金!E:E)</f>
        <v>185224.14</v>
      </c>
      <c r="AZ18" s="17">
        <f t="shared" si="4"/>
        <v>212224.14</v>
      </c>
      <c r="BA18" s="17">
        <f>SUMIF(上月累计工资累计社保和公积金!C:C,C18,上月累计工资累计社保和公积金!K:K)</f>
        <v>63962</v>
      </c>
      <c r="BB18" s="17">
        <f t="shared" si="5"/>
        <v>73216</v>
      </c>
      <c r="BC18" s="17">
        <f>ROUND(MAX((AZ18-BB18-AP18-AQ18-AR18-AS18-AT18-AU18-AV18)*0.01*{3,10,20,25,30,35,45}-{0,2520,16920,31920,52920,85920,181920},0),2)</f>
        <v>11380.81</v>
      </c>
      <c r="BD18" s="17">
        <f>SUMIF(上月累计工资累计社保和公积金!C:C,C18,上月累计工资累计社保和公积金!L:L)</f>
        <v>9606.21</v>
      </c>
      <c r="BE18" s="17">
        <f t="shared" si="6"/>
        <v>1774.6</v>
      </c>
      <c r="BF18" s="17">
        <f t="shared" si="7"/>
        <v>21211.4</v>
      </c>
      <c r="BG18" s="231"/>
      <c r="BH18" s="232" t="str">
        <f>VLOOKUP(C18,考勤!C:AL,36,0)</f>
        <v>Yuhoooooo@youdoogo.com</v>
      </c>
      <c r="BI18" s="233">
        <f t="shared" si="8"/>
        <v>0</v>
      </c>
      <c r="BJ18" s="236"/>
      <c r="BK18" s="235"/>
      <c r="BL18" s="235"/>
      <c r="BM18" s="235"/>
      <c r="BN18" s="235"/>
    </row>
    <row r="19" s="202" customFormat="1" ht="15.75" customHeight="1" spans="1:66">
      <c r="A19" s="224">
        <f t="shared" si="9"/>
        <v>17</v>
      </c>
      <c r="B19" s="225" t="s">
        <v>101</v>
      </c>
      <c r="C19" s="226" t="s">
        <v>180</v>
      </c>
      <c r="D19" s="226" t="s">
        <v>181</v>
      </c>
      <c r="E19" s="226" t="s">
        <v>104</v>
      </c>
      <c r="F19" s="226" t="s">
        <v>101</v>
      </c>
      <c r="G19" s="227" t="s">
        <v>63</v>
      </c>
      <c r="H19" s="228">
        <v>45903</v>
      </c>
      <c r="I19" s="229"/>
      <c r="J19" s="230" t="s">
        <v>33</v>
      </c>
      <c r="K19" s="226" t="s">
        <v>182</v>
      </c>
      <c r="L19" s="227">
        <v>1</v>
      </c>
      <c r="M19" s="227" t="s">
        <v>33</v>
      </c>
      <c r="N19" s="17" t="s">
        <v>183</v>
      </c>
      <c r="O19" s="17" t="s">
        <v>184</v>
      </c>
      <c r="P19" s="17">
        <v>14000</v>
      </c>
      <c r="Q19" s="17">
        <f>ROUND(SUMIF(其他补发!B:B,$C19,其他补发!D:D),2)</f>
        <v>0</v>
      </c>
      <c r="R19" s="17">
        <f>ROUND(SUMIF(其他补发!B:B,$C19,其他补发!H:H),2)</f>
        <v>0</v>
      </c>
      <c r="S19" s="17">
        <f>ROUND(SUMIF(其他补发!B:B,$C19,其他补发!I:I),2)</f>
        <v>0</v>
      </c>
      <c r="T19" s="17">
        <f>ROUND(SUMIF(其他补发!B:B,$C19,其他补发!E:E),2)</f>
        <v>0</v>
      </c>
      <c r="U19" s="17">
        <f>ROUND((VLOOKUP(C19,考勤!C:H,6,0)+VLOOKUP(C19,考勤!C:O,13,0)+VLOOKUP(C19,考勤!C:P,14,0)*0.3+VLOOKUP(C19,考勤!C:AA,25,0))*(P19+Q19+R19)/21.75,2)+ROUND((VLOOKUP(C19,考勤!C:V,19,0)+VLOOKUP(C19,考勤!C:V,20,0))*(P19+Q19+R19-2520)/21.75,2)</f>
        <v>0</v>
      </c>
      <c r="V19" s="17">
        <f>ROUND(SUMIF(动态表!C:C,C19,动态表!AA:AA)+SUMIFS(其他补发!L:L,其他补发!B:B,C19),2)</f>
        <v>0</v>
      </c>
      <c r="W19" s="17">
        <f>ROUND(VLOOKUP(C19,考勤!C:K,9,0)*P19/21.75/8*2+VLOOKUP(C19,考勤!C:L,10,0)*P19/21.75/8*3,2)+SUMIFS(加班费!$H:$H,加班费!$D:$D,$C19)</f>
        <v>0</v>
      </c>
      <c r="X19" s="17">
        <f>SUMIF(奖金!D:D,C19,奖金!F:F)</f>
        <v>0</v>
      </c>
      <c r="Y19" s="17">
        <f>SUMIF(其他补发!B:B,C19,其他补发!J:J)</f>
        <v>0</v>
      </c>
      <c r="Z19" s="17">
        <f>SUMIF(其他补发!B:B,C19,其他补发!F:F)</f>
        <v>0</v>
      </c>
      <c r="AA19" s="17">
        <f>SUMIF(其他补发!B:B,C19,其他补发!G:G)</f>
        <v>0</v>
      </c>
      <c r="AB19" s="17">
        <f>SUMIF(其他补发!B:B,C19,其他补发!M:M)</f>
        <v>0</v>
      </c>
      <c r="AC19" s="17">
        <f>SUMIF(其他补发!B:B,C19,其他补发!N:N)</f>
        <v>0</v>
      </c>
      <c r="AD19" s="17">
        <f>SUMIF(其他补发!B:B,C19,其他补发!K:K)</f>
        <v>0</v>
      </c>
      <c r="AE19" s="17">
        <f t="shared" si="0"/>
        <v>0</v>
      </c>
      <c r="AF19" s="17">
        <f t="shared" si="1"/>
        <v>14000</v>
      </c>
      <c r="AG19" s="17">
        <f>SUMIF(税后扣款!B:B,C19,税后扣款!E:E)</f>
        <v>0</v>
      </c>
      <c r="AH19" s="17">
        <f>SUMIF(房租水电!A:A,C19,房租水电!C:C)</f>
        <v>0</v>
      </c>
      <c r="AI19" s="17">
        <f>SUMIF(房租水电!A:A,C19,房租水电!D:D)</f>
        <v>0</v>
      </c>
      <c r="AJ19" s="17">
        <f>SUMIF(税后扣款!B:B,C19,税后扣款!D:D)</f>
        <v>-160</v>
      </c>
      <c r="AK19" s="17">
        <f t="shared" si="2"/>
        <v>-160</v>
      </c>
      <c r="AL19" s="17">
        <f>SUMIF(社会保险!D:D,N19,社会保险!I:I)</f>
        <v>1120</v>
      </c>
      <c r="AM19" s="17">
        <f>SUMIF(社会保险!D:D,N19,社会保险!J:J)</f>
        <v>280</v>
      </c>
      <c r="AN19" s="17">
        <f>SUMIF(社会保险!D:D,N19,社会保险!K:K)</f>
        <v>28</v>
      </c>
      <c r="AO19" s="17">
        <f>SUMIF(公积金!C:C,N19,公积金!L:L)</f>
        <v>780</v>
      </c>
      <c r="AP19" s="17">
        <f>SUMIF(专项扣除!$B:$B,$C19,专项扣除!D:D)</f>
        <v>0</v>
      </c>
      <c r="AQ19" s="17">
        <f>SUMIF(专项扣除!$B:$B,$C19,专项扣除!E:E)</f>
        <v>0</v>
      </c>
      <c r="AR19" s="17">
        <f>SUMIF(专项扣除!$B:$B,$C19,专项扣除!F:F)</f>
        <v>0</v>
      </c>
      <c r="AS19" s="17">
        <f>SUMIF(专项扣除!$B:$B,$C19,专项扣除!G:G)</f>
        <v>10500</v>
      </c>
      <c r="AT19" s="17">
        <f>SUMIF(专项扣除!$B:$B,$C19,专项扣除!H:H)</f>
        <v>0</v>
      </c>
      <c r="AU19" s="17">
        <f>SUMIF(专项扣除!$B:$B,$C19,专项扣除!I:I)</f>
        <v>0</v>
      </c>
      <c r="AV19" s="17">
        <f>SUMIF(专项扣除!$B:$B,$C19,专项扣除!J:J)</f>
        <v>0</v>
      </c>
      <c r="AW19" s="17">
        <v>5000</v>
      </c>
      <c r="AX19" s="17">
        <f t="shared" si="3"/>
        <v>7208</v>
      </c>
      <c r="AY19" s="17">
        <f>SUMIF(上月累计工资累计社保和公积金!C:C,C19,上月累计工资累计社保和公积金!E:E)</f>
        <v>96231.03</v>
      </c>
      <c r="AZ19" s="17">
        <f t="shared" si="4"/>
        <v>110231.03</v>
      </c>
      <c r="BA19" s="17">
        <f>SUMIF(上月累计工资累计社保和公积金!C:C,C19,上月累计工资累计社保和公积金!K:K)</f>
        <v>50048</v>
      </c>
      <c r="BB19" s="17">
        <f t="shared" si="5"/>
        <v>57256</v>
      </c>
      <c r="BC19" s="17">
        <f>ROUND(MAX((AZ19-BB19-AP19-AQ19-AR19-AS19-AT19-AU19-AV19)*0.01*{3,10,20,25,30,35,45}-{0,2520,16920,31920,52920,85920,181920},0),2)</f>
        <v>1727.5</v>
      </c>
      <c r="BD19" s="17">
        <f>SUMIF(上月累计工资累计社保和公积金!C:C,C19,上月累计工资累计社保和公积金!L:L)</f>
        <v>1070.49</v>
      </c>
      <c r="BE19" s="17">
        <f t="shared" si="6"/>
        <v>657.01</v>
      </c>
      <c r="BF19" s="17">
        <f t="shared" si="7"/>
        <v>11294.99</v>
      </c>
      <c r="BG19" s="231"/>
      <c r="BH19" s="232" t="str">
        <f>VLOOKUP(C19,考勤!C:AL,36,0)</f>
        <v>allen@youdoogo.com</v>
      </c>
      <c r="BI19" s="233">
        <f t="shared" si="8"/>
        <v>0</v>
      </c>
      <c r="BJ19" s="236"/>
      <c r="BK19" s="235"/>
      <c r="BL19" s="235"/>
      <c r="BM19" s="235"/>
      <c r="BN19" s="235"/>
    </row>
    <row r="20" s="202" customFormat="1" ht="15.75" customHeight="1" spans="1:66">
      <c r="A20" s="224">
        <f t="shared" si="9"/>
        <v>18</v>
      </c>
      <c r="B20" s="225" t="s">
        <v>101</v>
      </c>
      <c r="C20" s="226" t="s">
        <v>185</v>
      </c>
      <c r="D20" s="226" t="s">
        <v>186</v>
      </c>
      <c r="E20" s="226" t="s">
        <v>104</v>
      </c>
      <c r="F20" s="226" t="s">
        <v>101</v>
      </c>
      <c r="G20" s="227" t="s">
        <v>65</v>
      </c>
      <c r="H20" s="228">
        <v>45904</v>
      </c>
      <c r="I20" s="229"/>
      <c r="J20" s="230" t="s">
        <v>36</v>
      </c>
      <c r="K20" s="226" t="s">
        <v>187</v>
      </c>
      <c r="L20" s="227">
        <v>1</v>
      </c>
      <c r="M20" s="227" t="s">
        <v>36</v>
      </c>
      <c r="N20" s="17" t="s">
        <v>188</v>
      </c>
      <c r="O20" s="17" t="s">
        <v>189</v>
      </c>
      <c r="P20" s="17">
        <v>50000</v>
      </c>
      <c r="Q20" s="17">
        <f>ROUND(SUMIF(其他补发!B:B,$C20,其他补发!D:D),2)</f>
        <v>0</v>
      </c>
      <c r="R20" s="17">
        <f>ROUND(SUMIF(其他补发!B:B,$C20,其他补发!H:H),2)</f>
        <v>0</v>
      </c>
      <c r="S20" s="17">
        <f>ROUND(SUMIF(其他补发!B:B,$C20,其他补发!I:I),2)</f>
        <v>0</v>
      </c>
      <c r="T20" s="17">
        <f>ROUND(SUMIF(其他补发!B:B,$C20,其他补发!E:E),2)</f>
        <v>0</v>
      </c>
      <c r="U20" s="17">
        <f>ROUND((VLOOKUP(C20,考勤!C:H,6,0)+VLOOKUP(C20,考勤!C:O,13,0)+VLOOKUP(C20,考勤!C:P,14,0)*0.3+VLOOKUP(C20,考勤!C:AA,25,0))*(P20+Q20+R20)/21.75,2)+ROUND((VLOOKUP(C20,考勤!C:V,19,0)+VLOOKUP(C20,考勤!C:V,20,0))*(P20+Q20+R20-2520)/21.75,2)</f>
        <v>3448.28</v>
      </c>
      <c r="V20" s="17">
        <f>ROUND(SUMIF(动态表!C:C,C20,动态表!AA:AA)+SUMIFS(其他补发!L:L,其他补发!B:B,C20),2)</f>
        <v>0</v>
      </c>
      <c r="W20" s="17">
        <f>ROUND(VLOOKUP(C20,考勤!C:K,9,0)*P20/21.75/8*2+VLOOKUP(C20,考勤!C:L,10,0)*P20/21.75/8*3,2)+SUMIFS(加班费!$H:$H,加班费!$D:$D,$C20)</f>
        <v>0</v>
      </c>
      <c r="X20" s="17">
        <f>SUMIF(奖金!D:D,C20,奖金!F:F)</f>
        <v>0</v>
      </c>
      <c r="Y20" s="17">
        <f>SUMIF(其他补发!B:B,C20,其他补发!J:J)</f>
        <v>0</v>
      </c>
      <c r="Z20" s="17">
        <f>SUMIF(其他补发!B:B,C20,其他补发!F:F)</f>
        <v>0</v>
      </c>
      <c r="AA20" s="17">
        <f>SUMIF(其他补发!B:B,C20,其他补发!G:G)</f>
        <v>0</v>
      </c>
      <c r="AB20" s="17">
        <f>SUMIF(其他补发!B:B,C20,其他补发!M:M)</f>
        <v>0</v>
      </c>
      <c r="AC20" s="17">
        <f>SUMIF(其他补发!B:B,C20,其他补发!N:N)</f>
        <v>0</v>
      </c>
      <c r="AD20" s="17">
        <f>SUMIF(其他补发!B:B,C20,其他补发!K:K)</f>
        <v>0</v>
      </c>
      <c r="AE20" s="17">
        <f t="shared" si="0"/>
        <v>0</v>
      </c>
      <c r="AF20" s="17">
        <f t="shared" si="1"/>
        <v>46551.72</v>
      </c>
      <c r="AG20" s="17">
        <f>SUMIF(税后扣款!B:B,C20,税后扣款!E:E)</f>
        <v>0</v>
      </c>
      <c r="AH20" s="17">
        <f>SUMIF(房租水电!A:A,C20,房租水电!C:C)</f>
        <v>0</v>
      </c>
      <c r="AI20" s="17">
        <f>SUMIF(房租水电!A:A,C20,房租水电!D:D)</f>
        <v>0</v>
      </c>
      <c r="AJ20" s="17">
        <f>SUMIF(税后扣款!B:B,C20,税后扣款!D:D)</f>
        <v>0</v>
      </c>
      <c r="AK20" s="17">
        <f t="shared" si="2"/>
        <v>0</v>
      </c>
      <c r="AL20" s="17">
        <f>SUMIF(社会保险!D:D,N20,社会保险!I:I)</f>
        <v>2203.92</v>
      </c>
      <c r="AM20" s="17">
        <f>SUMIF(社会保险!D:D,N20,社会保险!J:J)</f>
        <v>672.66</v>
      </c>
      <c r="AN20" s="17">
        <f>SUMIF(社会保险!D:D,N20,社会保险!K:K)</f>
        <v>96.94</v>
      </c>
      <c r="AO20" s="17">
        <f>SUMIF(公积金!C:C,N20,公积金!L:L)</f>
        <v>5311.8</v>
      </c>
      <c r="AP20" s="17">
        <f>SUMIF(专项扣除!$B:$B,$C20,专项扣除!D:D)</f>
        <v>28000</v>
      </c>
      <c r="AQ20" s="17">
        <f>SUMIF(专项扣除!$B:$B,$C20,专项扣除!E:E)</f>
        <v>0</v>
      </c>
      <c r="AR20" s="17">
        <f>SUMIF(专项扣除!$B:$B,$C20,专项扣除!F:F)</f>
        <v>7000</v>
      </c>
      <c r="AS20" s="17">
        <f>SUMIF(专项扣除!$B:$B,$C20,专项扣除!G:G)</f>
        <v>0</v>
      </c>
      <c r="AT20" s="17">
        <f>SUMIF(专项扣除!$B:$B,$C20,专项扣除!H:H)</f>
        <v>10500</v>
      </c>
      <c r="AU20" s="17">
        <f>SUMIF(专项扣除!$B:$B,$C20,专项扣除!I:I)</f>
        <v>0</v>
      </c>
      <c r="AV20" s="17">
        <f>SUMIF(专项扣除!$B:$B,$C20,专项扣除!J:J)</f>
        <v>0</v>
      </c>
      <c r="AW20" s="17">
        <v>5000</v>
      </c>
      <c r="AX20" s="17">
        <f t="shared" si="3"/>
        <v>13285.32</v>
      </c>
      <c r="AY20" s="17">
        <f>SUMIF(上月累计工资累计社保和公积金!C:C,C20,上月累计工资累计社保和公积金!E:E)</f>
        <v>350300</v>
      </c>
      <c r="AZ20" s="17">
        <f t="shared" si="4"/>
        <v>396851.72</v>
      </c>
      <c r="BA20" s="17">
        <f>SUMIF(上月累计工资累计社保和公积金!C:C,C20,上月累计工资累计社保和公积金!K:K)</f>
        <v>74347.73</v>
      </c>
      <c r="BB20" s="17">
        <f t="shared" si="5"/>
        <v>87633.05</v>
      </c>
      <c r="BC20" s="17">
        <f>ROUND(MAX((AZ20-BB20-AP20-AQ20-AR20-AS20-AT20-AU20-AV20)*0.01*{3,10,20,25,30,35,45}-{0,2520,16920,31920,52920,85920,181920},0),2)</f>
        <v>35823.73</v>
      </c>
      <c r="BD20" s="17">
        <f>SUMIF(上月累计工资累计社保和公积金!C:C,C20,上月累计工资累计社保和公积金!L:L)</f>
        <v>29170.45</v>
      </c>
      <c r="BE20" s="17">
        <f t="shared" si="6"/>
        <v>6653.28</v>
      </c>
      <c r="BF20" s="17">
        <f t="shared" si="7"/>
        <v>31613.12</v>
      </c>
      <c r="BG20" s="231"/>
      <c r="BH20" s="232" t="str">
        <f>VLOOKUP(C20,考勤!C:AL,36,0)</f>
        <v>ericliu@youdoogo.com</v>
      </c>
      <c r="BI20" s="233">
        <f t="shared" si="8"/>
        <v>0</v>
      </c>
      <c r="BJ20" s="236"/>
      <c r="BK20" s="235"/>
      <c r="BL20" s="235"/>
      <c r="BM20" s="235"/>
      <c r="BN20" s="235"/>
    </row>
    <row r="21" s="202" customFormat="1" ht="15.75" customHeight="1" spans="1:66">
      <c r="A21" s="224">
        <f t="shared" si="9"/>
        <v>19</v>
      </c>
      <c r="B21" s="225" t="s">
        <v>101</v>
      </c>
      <c r="C21" s="226" t="s">
        <v>190</v>
      </c>
      <c r="D21" s="226" t="s">
        <v>191</v>
      </c>
      <c r="E21" s="226" t="s">
        <v>104</v>
      </c>
      <c r="F21" s="226" t="s">
        <v>101</v>
      </c>
      <c r="G21" s="227" t="s">
        <v>66</v>
      </c>
      <c r="H21" s="228">
        <v>45911</v>
      </c>
      <c r="I21" s="229"/>
      <c r="J21" s="230" t="s">
        <v>33</v>
      </c>
      <c r="K21" s="226" t="s">
        <v>192</v>
      </c>
      <c r="L21" s="227">
        <v>1</v>
      </c>
      <c r="M21" s="227" t="s">
        <v>33</v>
      </c>
      <c r="N21" s="17" t="s">
        <v>193</v>
      </c>
      <c r="O21" s="17" t="s">
        <v>194</v>
      </c>
      <c r="P21" s="17">
        <v>14000</v>
      </c>
      <c r="Q21" s="17">
        <f>ROUND(SUMIF(其他补发!B:B,$C21,其他补发!D:D),2)</f>
        <v>0</v>
      </c>
      <c r="R21" s="17">
        <f>ROUND(SUMIF(其他补发!B:B,$C21,其他补发!H:H),2)</f>
        <v>0</v>
      </c>
      <c r="S21" s="17">
        <f>ROUND(SUMIF(其他补发!B:B,$C21,其他补发!I:I),2)</f>
        <v>0</v>
      </c>
      <c r="T21" s="17">
        <f>ROUND(SUMIF(其他补发!B:B,$C21,其他补发!E:E),2)</f>
        <v>0</v>
      </c>
      <c r="U21" s="17">
        <f>ROUND((VLOOKUP(C21,考勤!C:H,6,0)+VLOOKUP(C21,考勤!C:O,13,0)+VLOOKUP(C21,考勤!C:P,14,0)*0.3+VLOOKUP(C21,考勤!C:AA,25,0))*(P21+Q21+R21)/21.75,2)+ROUND((VLOOKUP(C21,考勤!C:V,19,0)+VLOOKUP(C21,考勤!C:V,20,0))*(P21+Q21+R21-2520)/21.75,2)</f>
        <v>0</v>
      </c>
      <c r="V21" s="17">
        <f>ROUND(SUMIF(动态表!C:C,C21,动态表!AA:AA)+SUMIFS(其他补发!L:L,其他补发!B:B,C21),2)</f>
        <v>0</v>
      </c>
      <c r="W21" s="17">
        <f>ROUND(VLOOKUP(C21,考勤!C:K,9,0)*P21/21.75/8*2+VLOOKUP(C21,考勤!C:L,10,0)*P21/21.75/8*3,2)+SUMIFS(加班费!$H:$H,加班费!$D:$D,$C21)</f>
        <v>0</v>
      </c>
      <c r="X21" s="17">
        <f>SUMIF(奖金!D:D,C21,奖金!F:F)</f>
        <v>0</v>
      </c>
      <c r="Y21" s="17">
        <f>SUMIF(其他补发!B:B,C21,其他补发!J:J)</f>
        <v>0</v>
      </c>
      <c r="Z21" s="17">
        <f>SUMIF(其他补发!B:B,C21,其他补发!F:F)</f>
        <v>0</v>
      </c>
      <c r="AA21" s="17">
        <f>SUMIF(其他补发!B:B,C21,其他补发!G:G)</f>
        <v>0</v>
      </c>
      <c r="AB21" s="17">
        <f>SUMIF(其他补发!B:B,C21,其他补发!M:M)</f>
        <v>0</v>
      </c>
      <c r="AC21" s="17">
        <f>SUMIF(其他补发!B:B,C21,其他补发!N:N)</f>
        <v>0</v>
      </c>
      <c r="AD21" s="17">
        <f>SUMIF(其他补发!B:B,C21,其他补发!K:K)</f>
        <v>0</v>
      </c>
      <c r="AE21" s="17">
        <f t="shared" si="0"/>
        <v>0</v>
      </c>
      <c r="AF21" s="17">
        <f t="shared" si="1"/>
        <v>14000</v>
      </c>
      <c r="AG21" s="17">
        <f>SUMIF(税后扣款!B:B,C21,税后扣款!E:E)</f>
        <v>0</v>
      </c>
      <c r="AH21" s="17">
        <f>SUMIF(房租水电!A:A,C21,房租水电!C:C)</f>
        <v>0</v>
      </c>
      <c r="AI21" s="17">
        <f>SUMIF(房租水电!A:A,C21,房租水电!D:D)</f>
        <v>0</v>
      </c>
      <c r="AJ21" s="17">
        <f>SUMIF(税后扣款!B:B,C21,税后扣款!D:D)</f>
        <v>-160</v>
      </c>
      <c r="AK21" s="17">
        <f t="shared" si="2"/>
        <v>-160</v>
      </c>
      <c r="AL21" s="17">
        <f>SUMIF(社会保险!D:D,N21,社会保险!I:I)</f>
        <v>1120</v>
      </c>
      <c r="AM21" s="17">
        <f>SUMIF(社会保险!D:D,N21,社会保险!J:J)</f>
        <v>280</v>
      </c>
      <c r="AN21" s="17">
        <f>SUMIF(社会保险!D:D,N21,社会保险!K:K)</f>
        <v>28</v>
      </c>
      <c r="AO21" s="17">
        <f>SUMIF(公积金!C:C,N21,公积金!L:L)</f>
        <v>840</v>
      </c>
      <c r="AP21" s="17">
        <f>SUMIF(专项扣除!$B:$B,$C21,专项扣除!D:D)</f>
        <v>0</v>
      </c>
      <c r="AQ21" s="17">
        <f>SUMIF(专项扣除!$B:$B,$C21,专项扣除!E:E)</f>
        <v>0</v>
      </c>
      <c r="AR21" s="17">
        <f>SUMIF(专项扣除!$B:$B,$C21,专项扣除!F:F)</f>
        <v>0</v>
      </c>
      <c r="AS21" s="17">
        <f>SUMIF(专项扣除!$B:$B,$C21,专项扣除!G:G)</f>
        <v>0</v>
      </c>
      <c r="AT21" s="17">
        <f>SUMIF(专项扣除!$B:$B,$C21,专项扣除!H:H)</f>
        <v>0</v>
      </c>
      <c r="AU21" s="17">
        <f>SUMIF(专项扣除!$B:$B,$C21,专项扣除!I:I)</f>
        <v>0</v>
      </c>
      <c r="AV21" s="17">
        <f>SUMIF(专项扣除!$B:$B,$C21,专项扣除!J:J)</f>
        <v>0</v>
      </c>
      <c r="AW21" s="17">
        <v>5000</v>
      </c>
      <c r="AX21" s="17">
        <f t="shared" si="3"/>
        <v>7268</v>
      </c>
      <c r="AY21" s="17">
        <f>SUMIF(上月累计工资累计社保和公积金!C:C,C21,上月累计工资累计社保和公积金!E:E)</f>
        <v>98500</v>
      </c>
      <c r="AZ21" s="17">
        <f t="shared" si="4"/>
        <v>112500</v>
      </c>
      <c r="BA21" s="17">
        <f>SUMIF(上月累计工资累计社保和公积金!C:C,C21,上月累计工资累计社保和公积金!K:K)</f>
        <v>50876</v>
      </c>
      <c r="BB21" s="17">
        <f t="shared" si="5"/>
        <v>58144</v>
      </c>
      <c r="BC21" s="17">
        <f>ROUND(MAX((AZ21-BB21-AP21-AQ21-AR21-AS21-AT21-AU21-AV21)*0.01*{3,10,20,25,30,35,45}-{0,2520,16920,31920,52920,85920,181920},0),2)</f>
        <v>2915.6</v>
      </c>
      <c r="BD21" s="17">
        <f>SUMIF(上月累计工资累计社保和公积金!C:C,C21,上月累计工资累计社保和公积金!L:L)</f>
        <v>2242.4</v>
      </c>
      <c r="BE21" s="17">
        <f t="shared" si="6"/>
        <v>673.2</v>
      </c>
      <c r="BF21" s="17">
        <f t="shared" si="7"/>
        <v>11218.8</v>
      </c>
      <c r="BG21" s="231"/>
      <c r="BH21" s="232" t="str">
        <f>VLOOKUP(C21,考勤!C:AL,36,0)</f>
        <v>rachel@youdoogo.com</v>
      </c>
      <c r="BI21" s="233">
        <f t="shared" si="8"/>
        <v>0</v>
      </c>
      <c r="BJ21" s="236"/>
      <c r="BK21" s="235"/>
      <c r="BL21" s="235"/>
      <c r="BM21" s="235"/>
      <c r="BN21" s="235"/>
    </row>
    <row r="22" s="202" customFormat="1" ht="15.75" customHeight="1" spans="1:66">
      <c r="A22" s="224">
        <f t="shared" si="9"/>
        <v>20</v>
      </c>
      <c r="B22" s="225" t="s">
        <v>101</v>
      </c>
      <c r="C22" s="226" t="s">
        <v>195</v>
      </c>
      <c r="D22" s="226" t="s">
        <v>196</v>
      </c>
      <c r="E22" s="226" t="s">
        <v>104</v>
      </c>
      <c r="F22" s="226" t="s">
        <v>101</v>
      </c>
      <c r="G22" s="227" t="s">
        <v>65</v>
      </c>
      <c r="H22" s="228">
        <v>45912</v>
      </c>
      <c r="I22" s="229"/>
      <c r="J22" s="230" t="s">
        <v>36</v>
      </c>
      <c r="K22" s="226" t="s">
        <v>197</v>
      </c>
      <c r="L22" s="227">
        <v>1</v>
      </c>
      <c r="M22" s="227" t="s">
        <v>36</v>
      </c>
      <c r="N22" s="17" t="s">
        <v>198</v>
      </c>
      <c r="O22" s="17" t="s">
        <v>199</v>
      </c>
      <c r="P22" s="17">
        <v>18000</v>
      </c>
      <c r="Q22" s="17">
        <f>ROUND(SUMIF(其他补发!B:B,$C22,其他补发!D:D),2)</f>
        <v>0</v>
      </c>
      <c r="R22" s="17">
        <f>ROUND(SUMIF(其他补发!B:B,$C22,其他补发!H:H),2)</f>
        <v>0</v>
      </c>
      <c r="S22" s="17">
        <f>ROUND(SUMIF(其他补发!B:B,$C22,其他补发!I:I),2)</f>
        <v>0</v>
      </c>
      <c r="T22" s="17">
        <f>ROUND(SUMIF(其他补发!B:B,$C22,其他补发!E:E),2)</f>
        <v>0</v>
      </c>
      <c r="U22" s="17">
        <f>ROUND((VLOOKUP(C22,考勤!C:H,6,0)+VLOOKUP(C22,考勤!C:O,13,0)+VLOOKUP(C22,考勤!C:P,14,0)*0.3+VLOOKUP(C22,考勤!C:AA,25,0))*(P22+Q22+R22)/21.75,2)+ROUND((VLOOKUP(C22,考勤!C:V,19,0)+VLOOKUP(C22,考勤!C:V,20,0))*(P22+Q22+R22-2520)/21.75,2)</f>
        <v>0</v>
      </c>
      <c r="V22" s="17">
        <f>ROUND(SUMIF(动态表!C:C,C22,动态表!AA:AA)+SUMIFS(其他补发!L:L,其他补发!B:B,C22),2)</f>
        <v>0</v>
      </c>
      <c r="W22" s="17">
        <f>ROUND(VLOOKUP(C22,考勤!C:K,9,0)*P22/21.75/8*2+VLOOKUP(C22,考勤!C:L,10,0)*P22/21.75/8*3,2)+SUMIFS(加班费!$H:$H,加班费!$D:$D,$C22)</f>
        <v>0</v>
      </c>
      <c r="X22" s="17">
        <f>SUMIF(奖金!D:D,C22,奖金!F:F)</f>
        <v>0</v>
      </c>
      <c r="Y22" s="17">
        <f>SUMIF(其他补发!B:B,C22,其他补发!J:J)</f>
        <v>0</v>
      </c>
      <c r="Z22" s="17">
        <f>SUMIF(其他补发!B:B,C22,其他补发!F:F)</f>
        <v>0</v>
      </c>
      <c r="AA22" s="17">
        <f>SUMIF(其他补发!B:B,C22,其他补发!G:G)</f>
        <v>0</v>
      </c>
      <c r="AB22" s="17">
        <f>SUMIF(其他补发!B:B,C22,其他补发!M:M)</f>
        <v>0</v>
      </c>
      <c r="AC22" s="17">
        <f>SUMIF(其他补发!B:B,C22,其他补发!N:N)</f>
        <v>0</v>
      </c>
      <c r="AD22" s="17">
        <f>SUMIF(其他补发!B:B,C22,其他补发!K:K)</f>
        <v>0</v>
      </c>
      <c r="AE22" s="17">
        <f t="shared" si="0"/>
        <v>0</v>
      </c>
      <c r="AF22" s="17">
        <f t="shared" si="1"/>
        <v>18000</v>
      </c>
      <c r="AG22" s="17">
        <f>SUMIF(税后扣款!B:B,C22,税后扣款!E:E)</f>
        <v>0</v>
      </c>
      <c r="AH22" s="17">
        <f>SUMIF(房租水电!A:A,C22,房租水电!C:C)</f>
        <v>0</v>
      </c>
      <c r="AI22" s="17">
        <f>SUMIF(房租水电!A:A,C22,房租水电!D:D)</f>
        <v>0</v>
      </c>
      <c r="AJ22" s="17">
        <f>SUMIF(税后扣款!B:B,C22,税后扣款!D:D)</f>
        <v>-160</v>
      </c>
      <c r="AK22" s="17">
        <f t="shared" si="2"/>
        <v>-160</v>
      </c>
      <c r="AL22" s="17">
        <f>SUMIF(社会保险!D:D,N22,社会保险!I:I)</f>
        <v>1440</v>
      </c>
      <c r="AM22" s="17">
        <f>SUMIF(社会保险!D:D,N22,社会保险!J:J)</f>
        <v>360</v>
      </c>
      <c r="AN22" s="17">
        <f>SUMIF(社会保险!D:D,N22,社会保险!K:K)</f>
        <v>36</v>
      </c>
      <c r="AO22" s="17">
        <f>SUMIF(公积金!C:C,N22,公积金!L:L)</f>
        <v>1080</v>
      </c>
      <c r="AP22" s="17">
        <f>SUMIF(专项扣除!$B:$B,$C22,专项扣除!D:D)</f>
        <v>0</v>
      </c>
      <c r="AQ22" s="17">
        <f>SUMIF(专项扣除!$B:$B,$C22,专项扣除!E:E)</f>
        <v>0</v>
      </c>
      <c r="AR22" s="17">
        <f>SUMIF(专项扣除!$B:$B,$C22,专项扣除!F:F)</f>
        <v>0</v>
      </c>
      <c r="AS22" s="17">
        <f>SUMIF(专项扣除!$B:$B,$C22,专项扣除!G:G)</f>
        <v>0</v>
      </c>
      <c r="AT22" s="17">
        <f>SUMIF(专项扣除!$B:$B,$C22,专项扣除!H:H)</f>
        <v>0</v>
      </c>
      <c r="AU22" s="17">
        <f>SUMIF(专项扣除!$B:$B,$C22,专项扣除!I:I)</f>
        <v>0</v>
      </c>
      <c r="AV22" s="17">
        <f>SUMIF(专项扣除!$B:$B,$C22,专项扣除!J:J)</f>
        <v>0</v>
      </c>
      <c r="AW22" s="17">
        <v>5000</v>
      </c>
      <c r="AX22" s="17">
        <f t="shared" si="3"/>
        <v>7916</v>
      </c>
      <c r="AY22" s="17">
        <f>SUMIF(上月累计工资累计社保和公积金!C:C,C22,上月累计工资累计社保和公积金!E:E)</f>
        <v>126300</v>
      </c>
      <c r="AZ22" s="17">
        <f t="shared" si="4"/>
        <v>144300</v>
      </c>
      <c r="BA22" s="17">
        <f>SUMIF(上月累计工资累计社保和公积金!C:C,C22,上月累计工资累计社保和公积金!K:K)</f>
        <v>55412</v>
      </c>
      <c r="BB22" s="17">
        <f t="shared" si="5"/>
        <v>63328</v>
      </c>
      <c r="BC22" s="17">
        <f>ROUND(MAX((AZ22-BB22-AP22-AQ22-AR22-AS22-AT22-AU22-AV22)*0.01*{3,10,20,25,30,35,45}-{0,2520,16920,31920,52920,85920,181920},0),2)</f>
        <v>5577.2</v>
      </c>
      <c r="BD22" s="17">
        <f>SUMIF(上月累计工资累计社保和公积金!C:C,C22,上月累计工资累计社保和公积金!L:L)</f>
        <v>4568.8</v>
      </c>
      <c r="BE22" s="17">
        <f t="shared" si="6"/>
        <v>1008.4</v>
      </c>
      <c r="BF22" s="17">
        <f t="shared" si="7"/>
        <v>14235.6</v>
      </c>
      <c r="BG22" s="231"/>
      <c r="BH22" s="232" t="str">
        <f>VLOOKUP(C22,考勤!C:AL,36,0)</f>
        <v>eliber@youdoogo.com</v>
      </c>
      <c r="BI22" s="233">
        <f t="shared" si="8"/>
        <v>0</v>
      </c>
      <c r="BJ22" s="236"/>
      <c r="BK22" s="235"/>
      <c r="BL22" s="235"/>
      <c r="BM22" s="235"/>
      <c r="BN22" s="235"/>
    </row>
    <row r="23" s="202" customFormat="1" ht="15.75" customHeight="1" spans="1:66">
      <c r="A23" s="224">
        <f t="shared" si="9"/>
        <v>21</v>
      </c>
      <c r="B23" s="225" t="s">
        <v>101</v>
      </c>
      <c r="C23" s="226" t="s">
        <v>200</v>
      </c>
      <c r="D23" s="226" t="s">
        <v>201</v>
      </c>
      <c r="E23" s="226" t="s">
        <v>104</v>
      </c>
      <c r="F23" s="226" t="s">
        <v>101</v>
      </c>
      <c r="G23" s="227" t="s">
        <v>67</v>
      </c>
      <c r="H23" s="228">
        <v>45915</v>
      </c>
      <c r="I23" s="229"/>
      <c r="J23" s="230" t="s">
        <v>36</v>
      </c>
      <c r="K23" s="226" t="s">
        <v>115</v>
      </c>
      <c r="L23" s="227">
        <v>1</v>
      </c>
      <c r="M23" s="227" t="s">
        <v>36</v>
      </c>
      <c r="N23" s="17" t="s">
        <v>202</v>
      </c>
      <c r="O23" s="17" t="s">
        <v>203</v>
      </c>
      <c r="P23" s="17">
        <v>14000</v>
      </c>
      <c r="Q23" s="17">
        <f>ROUND(SUMIF(其他补发!B:B,$C23,其他补发!D:D),2)</f>
        <v>0</v>
      </c>
      <c r="R23" s="17">
        <f>ROUND(SUMIF(其他补发!B:B,$C23,其他补发!H:H),2)</f>
        <v>0</v>
      </c>
      <c r="S23" s="17">
        <f>ROUND(SUMIF(其他补发!B:B,$C23,其他补发!I:I),2)</f>
        <v>0</v>
      </c>
      <c r="T23" s="17">
        <f>ROUND(SUMIF(其他补发!B:B,$C23,其他补发!E:E),2)</f>
        <v>0</v>
      </c>
      <c r="U23" s="17">
        <f>ROUND((VLOOKUP(C23,考勤!C:H,6,0)+VLOOKUP(C23,考勤!C:O,13,0)+VLOOKUP(C23,考勤!C:P,14,0)*0.3+VLOOKUP(C23,考勤!C:AA,25,0))*(P23+Q23+R23)/21.75,2)+ROUND((VLOOKUP(C23,考勤!C:V,19,0)+VLOOKUP(C23,考勤!C:V,20,0))*(P23+Q23+R23-2520)/21.75,2)</f>
        <v>0</v>
      </c>
      <c r="V23" s="17">
        <f>ROUND(SUMIF(动态表!C:C,C23,动态表!AA:AA)+SUMIFS(其他补发!L:L,其他补发!B:B,C23),2)</f>
        <v>0</v>
      </c>
      <c r="W23" s="17">
        <f>ROUND(VLOOKUP(C23,考勤!C:K,9,0)*P23/21.75/8*2+VLOOKUP(C23,考勤!C:L,10,0)*P23/21.75/8*3,2)+SUMIFS(加班费!$H:$H,加班费!$D:$D,$C23)</f>
        <v>0</v>
      </c>
      <c r="X23" s="17">
        <f>SUMIF(奖金!D:D,C23,奖金!F:F)</f>
        <v>0</v>
      </c>
      <c r="Y23" s="17">
        <f>SUMIF(其他补发!B:B,C23,其他补发!J:J)</f>
        <v>0</v>
      </c>
      <c r="Z23" s="17">
        <f>SUMIF(其他补发!B:B,C23,其他补发!F:F)</f>
        <v>0</v>
      </c>
      <c r="AA23" s="17">
        <f>SUMIF(其他补发!B:B,C23,其他补发!G:G)</f>
        <v>0</v>
      </c>
      <c r="AB23" s="17">
        <f>SUMIF(其他补发!B:B,C23,其他补发!M:M)</f>
        <v>0</v>
      </c>
      <c r="AC23" s="17">
        <f>SUMIF(其他补发!B:B,C23,其他补发!N:N)</f>
        <v>0</v>
      </c>
      <c r="AD23" s="17">
        <f>SUMIF(其他补发!B:B,C23,其他补发!K:K)</f>
        <v>0</v>
      </c>
      <c r="AE23" s="17">
        <f t="shared" si="0"/>
        <v>0</v>
      </c>
      <c r="AF23" s="17">
        <f t="shared" si="1"/>
        <v>14000</v>
      </c>
      <c r="AG23" s="17">
        <f>SUMIF(税后扣款!B:B,C23,税后扣款!E:E)</f>
        <v>0</v>
      </c>
      <c r="AH23" s="17">
        <f>SUMIF(房租水电!A:A,C23,房租水电!C:C)</f>
        <v>0</v>
      </c>
      <c r="AI23" s="17">
        <f>SUMIF(房租水电!A:A,C23,房租水电!D:D)</f>
        <v>0</v>
      </c>
      <c r="AJ23" s="17">
        <f>SUMIF(税后扣款!B:B,C23,税后扣款!D:D)</f>
        <v>-160</v>
      </c>
      <c r="AK23" s="17">
        <f t="shared" si="2"/>
        <v>-160</v>
      </c>
      <c r="AL23" s="17">
        <f>SUMIF(社会保险!D:D,N23,社会保险!I:I)</f>
        <v>1120</v>
      </c>
      <c r="AM23" s="17">
        <f>SUMIF(社会保险!D:D,N23,社会保险!J:J)</f>
        <v>280</v>
      </c>
      <c r="AN23" s="17">
        <f>SUMIF(社会保险!D:D,N23,社会保险!K:K)</f>
        <v>28</v>
      </c>
      <c r="AO23" s="17">
        <f>SUMIF(公积金!C:C,N23,公积金!L:L)</f>
        <v>840</v>
      </c>
      <c r="AP23" s="17">
        <f>SUMIF(专项扣除!$B:$B,$C23,专项扣除!D:D)</f>
        <v>0</v>
      </c>
      <c r="AQ23" s="17">
        <f>SUMIF(专项扣除!$B:$B,$C23,专项扣除!E:E)</f>
        <v>0</v>
      </c>
      <c r="AR23" s="17">
        <f>SUMIF(专项扣除!$B:$B,$C23,专项扣除!F:F)</f>
        <v>0</v>
      </c>
      <c r="AS23" s="17">
        <f>SUMIF(专项扣除!$B:$B,$C23,专项扣除!G:G)</f>
        <v>0</v>
      </c>
      <c r="AT23" s="17">
        <f>SUMIF(专项扣除!$B:$B,$C23,专项扣除!H:H)</f>
        <v>0</v>
      </c>
      <c r="AU23" s="17">
        <f>SUMIF(专项扣除!$B:$B,$C23,专项扣除!I:I)</f>
        <v>0</v>
      </c>
      <c r="AV23" s="17">
        <f>SUMIF(专项扣除!$B:$B,$C23,专项扣除!J:J)</f>
        <v>0</v>
      </c>
      <c r="AW23" s="17">
        <v>5000</v>
      </c>
      <c r="AX23" s="17">
        <f t="shared" si="3"/>
        <v>7268</v>
      </c>
      <c r="AY23" s="17">
        <f>SUMIF(上月累计工资累计社保和公积金!C:C,C23,上月累计工资累计社保和公积金!E:E)</f>
        <v>95339.08</v>
      </c>
      <c r="AZ23" s="17">
        <f t="shared" si="4"/>
        <v>109339.08</v>
      </c>
      <c r="BA23" s="17">
        <f>SUMIF(上月累计工资累计社保和公积金!C:C,C23,上月累计工资累计社保和公积金!K:K)</f>
        <v>50876</v>
      </c>
      <c r="BB23" s="17">
        <f t="shared" si="5"/>
        <v>58144</v>
      </c>
      <c r="BC23" s="17">
        <f>ROUND(MAX((AZ23-BB23-AP23-AQ23-AR23-AS23-AT23-AU23-AV23)*0.01*{3,10,20,25,30,35,45}-{0,2520,16920,31920,52920,85920,181920},0),2)</f>
        <v>2599.51</v>
      </c>
      <c r="BD23" s="17">
        <f>SUMIF(上月累计工资累计社保和公积金!C:C,C23,上月累计工资累计社保和公积金!L:L)</f>
        <v>1926.31</v>
      </c>
      <c r="BE23" s="17">
        <f t="shared" si="6"/>
        <v>673.2</v>
      </c>
      <c r="BF23" s="17">
        <f t="shared" si="7"/>
        <v>11218.8</v>
      </c>
      <c r="BG23" s="231"/>
      <c r="BH23" s="232" t="str">
        <f>VLOOKUP(C23,考勤!C:AL,36,0)</f>
        <v>zarhhe@youdoogo.com</v>
      </c>
      <c r="BI23" s="233">
        <f t="shared" si="8"/>
        <v>0</v>
      </c>
      <c r="BJ23" s="236"/>
      <c r="BK23" s="235"/>
      <c r="BL23" s="235"/>
      <c r="BM23" s="235"/>
      <c r="BN23" s="235"/>
    </row>
    <row r="24" s="202" customFormat="1" ht="15.75" customHeight="1" spans="1:66">
      <c r="A24" s="224">
        <f t="shared" si="9"/>
        <v>22</v>
      </c>
      <c r="B24" s="225" t="s">
        <v>101</v>
      </c>
      <c r="C24" s="226" t="s">
        <v>204</v>
      </c>
      <c r="D24" s="226" t="s">
        <v>205</v>
      </c>
      <c r="E24" s="226" t="s">
        <v>104</v>
      </c>
      <c r="F24" s="226" t="s">
        <v>101</v>
      </c>
      <c r="G24" s="227" t="s">
        <v>65</v>
      </c>
      <c r="H24" s="228">
        <v>45917</v>
      </c>
      <c r="I24" s="229"/>
      <c r="J24" s="230" t="s">
        <v>36</v>
      </c>
      <c r="K24" s="226" t="s">
        <v>206</v>
      </c>
      <c r="L24" s="227">
        <v>1</v>
      </c>
      <c r="M24" s="227" t="s">
        <v>36</v>
      </c>
      <c r="N24" s="17" t="s">
        <v>207</v>
      </c>
      <c r="O24" s="17" t="s">
        <v>208</v>
      </c>
      <c r="P24" s="17">
        <v>36300</v>
      </c>
      <c r="Q24" s="17">
        <f>ROUND(SUMIF(其他补发!B:B,$C24,其他补发!D:D),2)</f>
        <v>0</v>
      </c>
      <c r="R24" s="17">
        <f>ROUND(SUMIF(其他补发!B:B,$C24,其他补发!H:H),2)</f>
        <v>0</v>
      </c>
      <c r="S24" s="17">
        <f>ROUND(SUMIF(其他补发!B:B,$C24,其他补发!I:I),2)</f>
        <v>0</v>
      </c>
      <c r="T24" s="17">
        <f>ROUND(SUMIF(其他补发!B:B,$C24,其他补发!E:E),2)</f>
        <v>0</v>
      </c>
      <c r="U24" s="17">
        <f>ROUND((VLOOKUP(C24,考勤!C:H,6,0)+VLOOKUP(C24,考勤!C:O,13,0)+VLOOKUP(C24,考勤!C:P,14,0)*0.3+VLOOKUP(C24,考勤!C:AA,25,0))*(P24+Q24+R24)/21.75,2)+ROUND((VLOOKUP(C24,考勤!C:V,19,0)+VLOOKUP(C24,考勤!C:V,20,0))*(P24+Q24+R24-2520)/21.75,2)</f>
        <v>0</v>
      </c>
      <c r="V24" s="17">
        <f>ROUND(SUMIF(动态表!C:C,C24,动态表!AA:AA)+SUMIFS(其他补发!L:L,其他补发!B:B,C24),2)</f>
        <v>0</v>
      </c>
      <c r="W24" s="17">
        <f>ROUND(VLOOKUP(C24,考勤!C:K,9,0)*P24/21.75/8*2+VLOOKUP(C24,考勤!C:L,10,0)*P24/21.75/8*3,2)+SUMIFS(加班费!$H:$H,加班费!$D:$D,$C24)</f>
        <v>0</v>
      </c>
      <c r="X24" s="17">
        <f>SUMIF(奖金!D:D,C24,奖金!F:F)</f>
        <v>0</v>
      </c>
      <c r="Y24" s="17">
        <f>SUMIF(其他补发!B:B,C24,其他补发!J:J)</f>
        <v>0</v>
      </c>
      <c r="Z24" s="17">
        <f>SUMIF(其他补发!B:B,C24,其他补发!F:F)</f>
        <v>0</v>
      </c>
      <c r="AA24" s="17">
        <f>SUMIF(其他补发!B:B,C24,其他补发!G:G)</f>
        <v>0</v>
      </c>
      <c r="AB24" s="17">
        <f>SUMIF(其他补发!B:B,C24,其他补发!M:M)</f>
        <v>0</v>
      </c>
      <c r="AC24" s="17">
        <f>SUMIF(其他补发!B:B,C24,其他补发!N:N)</f>
        <v>0</v>
      </c>
      <c r="AD24" s="17">
        <f>SUMIF(其他补发!B:B,C24,其他补发!K:K)</f>
        <v>0</v>
      </c>
      <c r="AE24" s="17">
        <f t="shared" si="0"/>
        <v>0</v>
      </c>
      <c r="AF24" s="17">
        <f t="shared" si="1"/>
        <v>36300</v>
      </c>
      <c r="AG24" s="17">
        <f>SUMIF(税后扣款!B:B,C24,税后扣款!E:E)</f>
        <v>0</v>
      </c>
      <c r="AH24" s="17">
        <f>SUMIF(房租水电!A:A,C24,房租水电!C:C)</f>
        <v>0</v>
      </c>
      <c r="AI24" s="17">
        <f>SUMIF(房租水电!A:A,C24,房租水电!D:D)</f>
        <v>0</v>
      </c>
      <c r="AJ24" s="17">
        <f>SUMIF(税后扣款!B:B,C24,税后扣款!D:D)</f>
        <v>4800.25</v>
      </c>
      <c r="AK24" s="17">
        <f t="shared" si="2"/>
        <v>4800.25</v>
      </c>
      <c r="AL24" s="17">
        <f>SUMIF(社会保险!D:D,N24,社会保险!I:I)</f>
        <v>2203.92</v>
      </c>
      <c r="AM24" s="17">
        <f>SUMIF(社会保险!D:D,N24,社会保险!J:J)</f>
        <v>672.66</v>
      </c>
      <c r="AN24" s="17">
        <f>SUMIF(社会保险!D:D,N24,社会保险!K:K)</f>
        <v>72.6</v>
      </c>
      <c r="AO24" s="17">
        <f>SUMIF(公积金!C:C,N24,公积金!L:L)</f>
        <v>3960</v>
      </c>
      <c r="AP24" s="17">
        <f>SUMIF(专项扣除!$B:$B,$C24,专项扣除!D:D)</f>
        <v>0</v>
      </c>
      <c r="AQ24" s="17">
        <f>SUMIF(专项扣除!$B:$B,$C24,专项扣除!E:E)</f>
        <v>0</v>
      </c>
      <c r="AR24" s="17">
        <f>SUMIF(专项扣除!$B:$B,$C24,专项扣除!F:F)</f>
        <v>0</v>
      </c>
      <c r="AS24" s="17">
        <f>SUMIF(专项扣除!$B:$B,$C24,专项扣除!G:G)</f>
        <v>0</v>
      </c>
      <c r="AT24" s="17">
        <f>SUMIF(专项扣除!$B:$B,$C24,专项扣除!H:H)</f>
        <v>0</v>
      </c>
      <c r="AU24" s="17">
        <f>SUMIF(专项扣除!$B:$B,$C24,专项扣除!I:I)</f>
        <v>0</v>
      </c>
      <c r="AV24" s="17">
        <f>SUMIF(专项扣除!$B:$B,$C24,专项扣除!J:J)</f>
        <v>0</v>
      </c>
      <c r="AW24" s="17">
        <v>5000</v>
      </c>
      <c r="AX24" s="17">
        <f t="shared" si="3"/>
        <v>11909.18</v>
      </c>
      <c r="AY24" s="17">
        <f>SUMIF(上月累计工资累计社保和公积金!C:C,C24,上月累计工资累计社保和公积金!E:E)</f>
        <v>241200</v>
      </c>
      <c r="AZ24" s="17">
        <f t="shared" si="4"/>
        <v>277500</v>
      </c>
      <c r="BA24" s="17">
        <f>SUMIF(上月累计工资累计社保和公积金!C:C,C24,上月累计工资累计社保和公积金!K:K)</f>
        <v>69427.22</v>
      </c>
      <c r="BB24" s="17">
        <f t="shared" si="5"/>
        <v>81336.4</v>
      </c>
      <c r="BC24" s="17">
        <f>ROUND(MAX((AZ24-BB24-AP24-AQ24-AR24-AS24-AT24-AU24-AV24)*0.01*{3,10,20,25,30,35,45}-{0,2520,16920,31920,52920,85920,181920},0),2)</f>
        <v>22312.72</v>
      </c>
      <c r="BD24" s="17">
        <f>SUMIF(上月累计工资累计社保和公积金!C:C,C24,上月累计工资累计社保和公积金!L:L)</f>
        <v>17434.56</v>
      </c>
      <c r="BE24" s="17">
        <f t="shared" si="6"/>
        <v>4878.16</v>
      </c>
      <c r="BF24" s="17">
        <f t="shared" si="7"/>
        <v>19712.41</v>
      </c>
      <c r="BG24" s="231"/>
      <c r="BH24" s="232" t="str">
        <f>VLOOKUP(C24,考勤!C:AL,36,0)</f>
        <v>nicholas@youdoogo.com</v>
      </c>
      <c r="BI24" s="233">
        <f t="shared" si="8"/>
        <v>0</v>
      </c>
      <c r="BJ24" s="236"/>
      <c r="BK24" s="235"/>
      <c r="BL24" s="235"/>
      <c r="BM24" s="235"/>
      <c r="BN24" s="235"/>
    </row>
    <row r="25" s="202" customFormat="1" ht="15.75" customHeight="1" spans="1:66">
      <c r="A25" s="224">
        <f t="shared" si="9"/>
        <v>23</v>
      </c>
      <c r="B25" s="225" t="s">
        <v>101</v>
      </c>
      <c r="C25" s="226" t="s">
        <v>209</v>
      </c>
      <c r="D25" s="226" t="s">
        <v>210</v>
      </c>
      <c r="E25" s="226" t="s">
        <v>104</v>
      </c>
      <c r="F25" s="226" t="s">
        <v>101</v>
      </c>
      <c r="G25" s="227" t="s">
        <v>65</v>
      </c>
      <c r="H25" s="228">
        <v>45919</v>
      </c>
      <c r="I25" s="229"/>
      <c r="J25" s="230" t="s">
        <v>36</v>
      </c>
      <c r="K25" s="226" t="s">
        <v>211</v>
      </c>
      <c r="L25" s="227">
        <v>1</v>
      </c>
      <c r="M25" s="227" t="s">
        <v>36</v>
      </c>
      <c r="N25" s="17" t="s">
        <v>212</v>
      </c>
      <c r="O25" s="17" t="s">
        <v>213</v>
      </c>
      <c r="P25" s="17">
        <v>19000</v>
      </c>
      <c r="Q25" s="17">
        <f>ROUND(SUMIF(其他补发!B:B,$C25,其他补发!D:D),2)</f>
        <v>0</v>
      </c>
      <c r="R25" s="17">
        <f>ROUND(SUMIF(其他补发!B:B,$C25,其他补发!H:H),2)</f>
        <v>0</v>
      </c>
      <c r="S25" s="17">
        <f>ROUND(SUMIF(其他补发!B:B,$C25,其他补发!I:I),2)</f>
        <v>0</v>
      </c>
      <c r="T25" s="17">
        <f>ROUND(SUMIF(其他补发!B:B,$C25,其他补发!E:E),2)</f>
        <v>0</v>
      </c>
      <c r="U25" s="17">
        <f>ROUND((VLOOKUP(C25,考勤!C:H,6,0)+VLOOKUP(C25,考勤!C:O,13,0)+VLOOKUP(C25,考勤!C:P,14,0)*0.3+VLOOKUP(C25,考勤!C:AA,25,0))*(P25+Q25+R25)/21.75,2)+ROUND((VLOOKUP(C25,考勤!C:V,19,0)+VLOOKUP(C25,考勤!C:V,20,0))*(P25+Q25+R25-2520)/21.75,2)</f>
        <v>0</v>
      </c>
      <c r="V25" s="17">
        <f>ROUND(SUMIF(动态表!C:C,C25,动态表!AA:AA)+SUMIFS(其他补发!L:L,其他补发!B:B,C25),2)</f>
        <v>0</v>
      </c>
      <c r="W25" s="17">
        <f>ROUND(VLOOKUP(C25,考勤!C:K,9,0)*P25/21.75/8*2+VLOOKUP(C25,考勤!C:L,10,0)*P25/21.75/8*3,2)+SUMIFS(加班费!$H:$H,加班费!$D:$D,$C25)</f>
        <v>0</v>
      </c>
      <c r="X25" s="17">
        <f>SUMIF(奖金!D:D,C25,奖金!F:F)</f>
        <v>0</v>
      </c>
      <c r="Y25" s="17">
        <f>SUMIF(其他补发!B:B,C25,其他补发!J:J)</f>
        <v>0</v>
      </c>
      <c r="Z25" s="17">
        <f>SUMIF(其他补发!B:B,C25,其他补发!F:F)</f>
        <v>0</v>
      </c>
      <c r="AA25" s="17">
        <f>SUMIF(其他补发!B:B,C25,其他补发!G:G)</f>
        <v>0</v>
      </c>
      <c r="AB25" s="17">
        <f>SUMIF(其他补发!B:B,C25,其他补发!M:M)</f>
        <v>0</v>
      </c>
      <c r="AC25" s="17">
        <f>SUMIF(其他补发!B:B,C25,其他补发!N:N)</f>
        <v>0</v>
      </c>
      <c r="AD25" s="17">
        <f>SUMIF(其他补发!B:B,C25,其他补发!K:K)</f>
        <v>0</v>
      </c>
      <c r="AE25" s="17">
        <f t="shared" si="0"/>
        <v>0</v>
      </c>
      <c r="AF25" s="17">
        <f t="shared" si="1"/>
        <v>19000</v>
      </c>
      <c r="AG25" s="17">
        <f>SUMIF(税后扣款!B:B,C25,税后扣款!E:E)</f>
        <v>0</v>
      </c>
      <c r="AH25" s="17">
        <f>SUMIF(房租水电!A:A,C25,房租水电!C:C)</f>
        <v>0</v>
      </c>
      <c r="AI25" s="17">
        <f>SUMIF(房租水电!A:A,C25,房租水电!D:D)</f>
        <v>0</v>
      </c>
      <c r="AJ25" s="17">
        <f>SUMIF(税后扣款!B:B,C25,税后扣款!D:D)</f>
        <v>-160</v>
      </c>
      <c r="AK25" s="17">
        <f t="shared" si="2"/>
        <v>-160</v>
      </c>
      <c r="AL25" s="17">
        <f>SUMIF(社会保险!D:D,N25,社会保险!I:I)</f>
        <v>1520</v>
      </c>
      <c r="AM25" s="17">
        <f>SUMIF(社会保险!D:D,N25,社会保险!J:J)</f>
        <v>380</v>
      </c>
      <c r="AN25" s="17">
        <f>SUMIF(社会保险!D:D,N25,社会保险!K:K)</f>
        <v>38</v>
      </c>
      <c r="AO25" s="17">
        <f>SUMIF(公积金!C:C,N25,公积金!L:L)</f>
        <v>1140</v>
      </c>
      <c r="AP25" s="17">
        <f>SUMIF(专项扣除!$B:$B,$C25,专项扣除!D:D)</f>
        <v>0</v>
      </c>
      <c r="AQ25" s="17">
        <f>SUMIF(专项扣除!$B:$B,$C25,专项扣除!E:E)</f>
        <v>0</v>
      </c>
      <c r="AR25" s="17">
        <f>SUMIF(专项扣除!$B:$B,$C25,专项扣除!F:F)</f>
        <v>0</v>
      </c>
      <c r="AS25" s="17">
        <f>SUMIF(专项扣除!$B:$B,$C25,专项扣除!G:G)</f>
        <v>0</v>
      </c>
      <c r="AT25" s="17">
        <f>SUMIF(专项扣除!$B:$B,$C25,专项扣除!H:H)</f>
        <v>0</v>
      </c>
      <c r="AU25" s="17">
        <f>SUMIF(专项扣除!$B:$B,$C25,专项扣除!I:I)</f>
        <v>0</v>
      </c>
      <c r="AV25" s="17">
        <f>SUMIF(专项扣除!$B:$B,$C25,专项扣除!J:J)</f>
        <v>0</v>
      </c>
      <c r="AW25" s="17">
        <v>5000</v>
      </c>
      <c r="AX25" s="17">
        <f t="shared" si="3"/>
        <v>8078</v>
      </c>
      <c r="AY25" s="17">
        <f>SUMIF(上月累计工资累计社保和公积金!C:C,C25,上月累计工资累计社保和公积金!E:E)</f>
        <v>133300</v>
      </c>
      <c r="AZ25" s="17">
        <f t="shared" si="4"/>
        <v>152300</v>
      </c>
      <c r="BA25" s="17">
        <f>SUMIF(上月累计工资累计社保和公积金!C:C,C25,上月累计工资累计社保和公积金!K:K)</f>
        <v>56546</v>
      </c>
      <c r="BB25" s="17">
        <f t="shared" si="5"/>
        <v>64624</v>
      </c>
      <c r="BC25" s="17">
        <f>ROUND(MAX((AZ25-BB25-AP25-AQ25-AR25-AS25-AT25-AU25-AV25)*0.01*{3,10,20,25,30,35,45}-{0,2520,16920,31920,52920,85920,181920},0),2)</f>
        <v>6247.6</v>
      </c>
      <c r="BD25" s="17">
        <f>SUMIF(上月累计工资累计社保和公积金!C:C,C25,上月累计工资累计社保和公积金!L:L)</f>
        <v>5155.4</v>
      </c>
      <c r="BE25" s="17">
        <f t="shared" si="6"/>
        <v>1092.2</v>
      </c>
      <c r="BF25" s="17">
        <f t="shared" si="7"/>
        <v>14989.8</v>
      </c>
      <c r="BG25" s="231"/>
      <c r="BH25" s="232" t="str">
        <f>VLOOKUP(C25,考勤!C:AL,36,0)</f>
        <v>kurt@youdoogo.com</v>
      </c>
      <c r="BI25" s="233">
        <f t="shared" si="8"/>
        <v>0</v>
      </c>
      <c r="BJ25" s="236"/>
      <c r="BK25" s="235"/>
      <c r="BL25" s="235"/>
      <c r="BM25" s="235"/>
      <c r="BN25" s="235"/>
    </row>
    <row r="26" s="202" customFormat="1" ht="15.75" customHeight="1" spans="1:66">
      <c r="A26" s="224">
        <f t="shared" si="9"/>
        <v>24</v>
      </c>
      <c r="B26" s="225" t="s">
        <v>101</v>
      </c>
      <c r="C26" s="226" t="s">
        <v>214</v>
      </c>
      <c r="D26" s="226" t="s">
        <v>215</v>
      </c>
      <c r="E26" s="226" t="s">
        <v>104</v>
      </c>
      <c r="F26" s="226" t="s">
        <v>101</v>
      </c>
      <c r="G26" s="227" t="s">
        <v>67</v>
      </c>
      <c r="H26" s="228">
        <v>45922</v>
      </c>
      <c r="I26" s="229"/>
      <c r="J26" s="230" t="s">
        <v>36</v>
      </c>
      <c r="K26" s="226" t="s">
        <v>177</v>
      </c>
      <c r="L26" s="227">
        <v>1</v>
      </c>
      <c r="M26" s="227" t="s">
        <v>36</v>
      </c>
      <c r="N26" s="17" t="s">
        <v>216</v>
      </c>
      <c r="O26" s="17" t="s">
        <v>217</v>
      </c>
      <c r="P26" s="17">
        <v>20000</v>
      </c>
      <c r="Q26" s="17">
        <f>ROUND(SUMIF(其他补发!B:B,$C26,其他补发!D:D),2)</f>
        <v>0</v>
      </c>
      <c r="R26" s="17">
        <f>ROUND(SUMIF(其他补发!B:B,$C26,其他补发!H:H),2)</f>
        <v>0</v>
      </c>
      <c r="S26" s="17">
        <f>ROUND(SUMIF(其他补发!B:B,$C26,其他补发!I:I),2)</f>
        <v>0</v>
      </c>
      <c r="T26" s="17">
        <f>ROUND(SUMIF(其他补发!B:B,$C26,其他补发!E:E),2)</f>
        <v>0</v>
      </c>
      <c r="U26" s="17">
        <f>ROUND((VLOOKUP(C26,考勤!C:H,6,0)+VLOOKUP(C26,考勤!C:O,13,0)+VLOOKUP(C26,考勤!C:P,14,0)*0.3+VLOOKUP(C26,考勤!C:AA,25,0))*(P26+Q26+R26)/21.75,2)+ROUND((VLOOKUP(C26,考勤!C:V,19,0)+VLOOKUP(C26,考勤!C:V,20,0))*(P26+Q26+R26-2520)/21.75,2)</f>
        <v>0</v>
      </c>
      <c r="V26" s="17">
        <f>ROUND(SUMIF(动态表!C:C,C26,动态表!AA:AA)+SUMIFS(其他补发!L:L,其他补发!B:B,C26),2)</f>
        <v>0</v>
      </c>
      <c r="W26" s="17">
        <f>ROUND(VLOOKUP(C26,考勤!C:K,9,0)*P26/21.75/8*2+VLOOKUP(C26,考勤!C:L,10,0)*P26/21.75/8*3,2)+SUMIFS(加班费!$H:$H,加班费!$D:$D,$C26)</f>
        <v>0</v>
      </c>
      <c r="X26" s="17">
        <f>SUMIF(奖金!D:D,C26,奖金!F:F)</f>
        <v>0</v>
      </c>
      <c r="Y26" s="17">
        <f>SUMIF(其他补发!B:B,C26,其他补发!J:J)</f>
        <v>0</v>
      </c>
      <c r="Z26" s="17">
        <f>SUMIF(其他补发!B:B,C26,其他补发!F:F)</f>
        <v>0</v>
      </c>
      <c r="AA26" s="17">
        <f>SUMIF(其他补发!B:B,C26,其他补发!G:G)</f>
        <v>0</v>
      </c>
      <c r="AB26" s="17">
        <f>SUMIF(其他补发!B:B,C26,其他补发!M:M)</f>
        <v>0</v>
      </c>
      <c r="AC26" s="17">
        <f>SUMIF(其他补发!B:B,C26,其他补发!N:N)</f>
        <v>0</v>
      </c>
      <c r="AD26" s="17">
        <f>SUMIF(其他补发!B:B,C26,其他补发!K:K)</f>
        <v>0</v>
      </c>
      <c r="AE26" s="17">
        <f t="shared" si="0"/>
        <v>0</v>
      </c>
      <c r="AF26" s="17">
        <f t="shared" si="1"/>
        <v>20000</v>
      </c>
      <c r="AG26" s="17">
        <f>SUMIF(税后扣款!B:B,C26,税后扣款!E:E)</f>
        <v>0</v>
      </c>
      <c r="AH26" s="17">
        <f>SUMIF(房租水电!A:A,C26,房租水电!C:C)</f>
        <v>0</v>
      </c>
      <c r="AI26" s="17">
        <f>SUMIF(房租水电!A:A,C26,房租水电!D:D)</f>
        <v>0</v>
      </c>
      <c r="AJ26" s="17">
        <f>SUMIF(税后扣款!B:B,C26,税后扣款!D:D)</f>
        <v>0</v>
      </c>
      <c r="AK26" s="17">
        <f t="shared" si="2"/>
        <v>0</v>
      </c>
      <c r="AL26" s="17">
        <f>SUMIF(社会保险!D:D,N26,社会保险!I:I)</f>
        <v>1600</v>
      </c>
      <c r="AM26" s="17">
        <f>SUMIF(社会保险!D:D,N26,社会保险!J:J)</f>
        <v>400</v>
      </c>
      <c r="AN26" s="17">
        <f>SUMIF(社会保险!D:D,N26,社会保险!K:K)</f>
        <v>40</v>
      </c>
      <c r="AO26" s="17">
        <f>SUMIF(公积金!C:C,N26,公积金!L:L)</f>
        <v>1200</v>
      </c>
      <c r="AP26" s="17">
        <f>SUMIF(专项扣除!$B:$B,$C26,专项扣除!D:D)</f>
        <v>0</v>
      </c>
      <c r="AQ26" s="17">
        <f>SUMIF(专项扣除!$B:$B,$C26,专项扣除!E:E)</f>
        <v>0</v>
      </c>
      <c r="AR26" s="17">
        <f>SUMIF(专项扣除!$B:$B,$C26,专项扣除!F:F)</f>
        <v>0</v>
      </c>
      <c r="AS26" s="17">
        <f>SUMIF(专项扣除!$B:$B,$C26,专项扣除!G:G)</f>
        <v>0</v>
      </c>
      <c r="AT26" s="17">
        <f>SUMIF(专项扣除!$B:$B,$C26,专项扣除!H:H)</f>
        <v>0</v>
      </c>
      <c r="AU26" s="17">
        <f>SUMIF(专项扣除!$B:$B,$C26,专项扣除!I:I)</f>
        <v>0</v>
      </c>
      <c r="AV26" s="17">
        <f>SUMIF(专项扣除!$B:$B,$C26,专项扣除!J:J)</f>
        <v>0</v>
      </c>
      <c r="AW26" s="17">
        <v>5000</v>
      </c>
      <c r="AX26" s="17">
        <f t="shared" si="3"/>
        <v>8240</v>
      </c>
      <c r="AY26" s="17">
        <f>SUMIF(上月累计工资累计社保和公积金!C:C,C26,上月累计工资累计社保和公积金!E:E)</f>
        <v>140300</v>
      </c>
      <c r="AZ26" s="17">
        <f t="shared" si="4"/>
        <v>160300</v>
      </c>
      <c r="BA26" s="17">
        <f>SUMIF(上月累计工资累计社保和公积金!C:C,C26,上月累计工资累计社保和公积金!K:K)</f>
        <v>57680</v>
      </c>
      <c r="BB26" s="17">
        <f t="shared" si="5"/>
        <v>65920</v>
      </c>
      <c r="BC26" s="17">
        <f>ROUND(MAX((AZ26-BB26-AP26-AQ26-AR26-AS26-AT26-AU26-AV26)*0.01*{3,10,20,25,30,35,45}-{0,2520,16920,31920,52920,85920,181920},0),2)</f>
        <v>6918</v>
      </c>
      <c r="BD26" s="17">
        <f>SUMIF(上月累计工资累计社保和公积金!C:C,C26,上月累计工资累计社保和公积金!L:L)</f>
        <v>5742</v>
      </c>
      <c r="BE26" s="17">
        <f t="shared" si="6"/>
        <v>1176</v>
      </c>
      <c r="BF26" s="17">
        <f t="shared" si="7"/>
        <v>15584</v>
      </c>
      <c r="BG26" s="231"/>
      <c r="BH26" s="232" t="str">
        <f>VLOOKUP(C26,考勤!C:AL,36,0)</f>
        <v> holden@youdoogo.com</v>
      </c>
      <c r="BI26" s="233">
        <f t="shared" si="8"/>
        <v>0</v>
      </c>
      <c r="BJ26" s="236"/>
      <c r="BK26" s="235"/>
      <c r="BL26" s="235"/>
      <c r="BM26" s="235"/>
      <c r="BN26" s="235"/>
    </row>
    <row r="27" s="202" customFormat="1" ht="15.75" customHeight="1" spans="1:66">
      <c r="A27" s="224">
        <f t="shared" si="9"/>
        <v>25</v>
      </c>
      <c r="B27" s="225" t="s">
        <v>101</v>
      </c>
      <c r="C27" s="226" t="s">
        <v>218</v>
      </c>
      <c r="D27" s="226" t="s">
        <v>219</v>
      </c>
      <c r="E27" s="226" t="s">
        <v>104</v>
      </c>
      <c r="F27" s="226" t="s">
        <v>101</v>
      </c>
      <c r="G27" s="227" t="s">
        <v>67</v>
      </c>
      <c r="H27" s="228">
        <v>45922</v>
      </c>
      <c r="I27" s="229"/>
      <c r="J27" s="230" t="s">
        <v>36</v>
      </c>
      <c r="K27" s="226" t="s">
        <v>220</v>
      </c>
      <c r="L27" s="227">
        <v>1</v>
      </c>
      <c r="M27" s="227" t="s">
        <v>36</v>
      </c>
      <c r="N27" s="17" t="s">
        <v>221</v>
      </c>
      <c r="O27" s="17" t="s">
        <v>222</v>
      </c>
      <c r="P27" s="17">
        <v>30000</v>
      </c>
      <c r="Q27" s="17">
        <f>ROUND(SUMIF(其他补发!B:B,$C27,其他补发!D:D),2)</f>
        <v>0</v>
      </c>
      <c r="R27" s="17">
        <f>ROUND(SUMIF(其他补发!B:B,$C27,其他补发!H:H),2)</f>
        <v>0</v>
      </c>
      <c r="S27" s="17">
        <f>ROUND(SUMIF(其他补发!B:B,$C27,其他补发!I:I),2)</f>
        <v>0</v>
      </c>
      <c r="T27" s="17">
        <f>ROUND(SUMIF(其他补发!B:B,$C27,其他补发!E:E),2)</f>
        <v>0</v>
      </c>
      <c r="U27" s="17">
        <f>ROUND((VLOOKUP(C27,考勤!C:H,6,0)+VLOOKUP(C27,考勤!C:O,13,0)+VLOOKUP(C27,考勤!C:P,14,0)*0.3+VLOOKUP(C27,考勤!C:AA,25,0))*(P27+Q27+R27)/21.75,2)+ROUND((VLOOKUP(C27,考勤!C:V,19,0)+VLOOKUP(C27,考勤!C:V,20,0))*(P27+Q27+R27-2520)/21.75,2)</f>
        <v>0</v>
      </c>
      <c r="V27" s="17">
        <f>ROUND(SUMIF(动态表!C:C,C27,动态表!AA:AA)+SUMIFS(其他补发!L:L,其他补发!B:B,C27),2)</f>
        <v>0</v>
      </c>
      <c r="W27" s="17">
        <f>ROUND(VLOOKUP(C27,考勤!C:K,9,0)*P27/21.75/8*2+VLOOKUP(C27,考勤!C:L,10,0)*P27/21.75/8*3,2)+SUMIFS(加班费!$H:$H,加班费!$D:$D,$C27)</f>
        <v>0</v>
      </c>
      <c r="X27" s="17">
        <f>SUMIF(奖金!D:D,C27,奖金!F:F)</f>
        <v>0</v>
      </c>
      <c r="Y27" s="17">
        <f>SUMIF(其他补发!B:B,C27,其他补发!J:J)</f>
        <v>0</v>
      </c>
      <c r="Z27" s="17">
        <f>SUMIF(其他补发!B:B,C27,其他补发!F:F)</f>
        <v>0</v>
      </c>
      <c r="AA27" s="17">
        <f>SUMIF(其他补发!B:B,C27,其他补发!G:G)</f>
        <v>0</v>
      </c>
      <c r="AB27" s="17">
        <f>SUMIF(其他补发!B:B,C27,其他补发!M:M)</f>
        <v>0</v>
      </c>
      <c r="AC27" s="17">
        <f>SUMIF(其他补发!B:B,C27,其他补发!N:N)</f>
        <v>0</v>
      </c>
      <c r="AD27" s="17">
        <f>SUMIF(其他补发!B:B,C27,其他补发!K:K)</f>
        <v>0</v>
      </c>
      <c r="AE27" s="17">
        <f t="shared" si="0"/>
        <v>0</v>
      </c>
      <c r="AF27" s="17">
        <f t="shared" si="1"/>
        <v>30000</v>
      </c>
      <c r="AG27" s="17">
        <f>SUMIF(税后扣款!B:B,C27,税后扣款!E:E)</f>
        <v>0</v>
      </c>
      <c r="AH27" s="17">
        <f>SUMIF(房租水电!A:A,C27,房租水电!C:C)</f>
        <v>0</v>
      </c>
      <c r="AI27" s="17">
        <f>SUMIF(房租水电!A:A,C27,房租水电!D:D)</f>
        <v>0</v>
      </c>
      <c r="AJ27" s="17">
        <f>SUMIF(税后扣款!B:B,C27,税后扣款!D:D)</f>
        <v>-160</v>
      </c>
      <c r="AK27" s="17">
        <f t="shared" si="2"/>
        <v>-160</v>
      </c>
      <c r="AL27" s="17">
        <f>SUMIF(社会保险!D:D,N27,社会保险!I:I)</f>
        <v>2203.92</v>
      </c>
      <c r="AM27" s="17">
        <f>SUMIF(社会保险!D:D,N27,社会保险!J:J)</f>
        <v>600</v>
      </c>
      <c r="AN27" s="17">
        <f>SUMIF(社会保险!D:D,N27,社会保险!K:K)</f>
        <v>60</v>
      </c>
      <c r="AO27" s="17">
        <f>SUMIF(公积金!C:C,N27,公积金!L:L)</f>
        <v>3600</v>
      </c>
      <c r="AP27" s="17">
        <f>SUMIF(专项扣除!$B:$B,$C27,专项扣除!D:D)</f>
        <v>0</v>
      </c>
      <c r="AQ27" s="17">
        <f>SUMIF(专项扣除!$B:$B,$C27,专项扣除!E:E)</f>
        <v>0</v>
      </c>
      <c r="AR27" s="17">
        <f>SUMIF(专项扣除!$B:$B,$C27,专项扣除!F:F)</f>
        <v>0</v>
      </c>
      <c r="AS27" s="17">
        <f>SUMIF(专项扣除!$B:$B,$C27,专项扣除!G:G)</f>
        <v>0</v>
      </c>
      <c r="AT27" s="17">
        <f>SUMIF(专项扣除!$B:$B,$C27,专项扣除!H:H)</f>
        <v>0</v>
      </c>
      <c r="AU27" s="17">
        <f>SUMIF(专项扣除!$B:$B,$C27,专项扣除!I:I)</f>
        <v>0</v>
      </c>
      <c r="AV27" s="17">
        <f>SUMIF(专项扣除!$B:$B,$C27,专项扣除!J:J)</f>
        <v>0</v>
      </c>
      <c r="AW27" s="17">
        <v>5000</v>
      </c>
      <c r="AX27" s="17">
        <f t="shared" si="3"/>
        <v>11463.92</v>
      </c>
      <c r="AY27" s="17">
        <f>SUMIF(上月累计工资累计社保和公积金!C:C,C27,上月累计工资累计社保和公积金!E:E)</f>
        <v>210300</v>
      </c>
      <c r="AZ27" s="17">
        <f t="shared" si="4"/>
        <v>240300</v>
      </c>
      <c r="BA27" s="17">
        <f>SUMIF(上月累计工资累计社保和公积金!C:C,C27,上月累计工资累计社保和公积金!K:K)</f>
        <v>67647.44</v>
      </c>
      <c r="BB27" s="17">
        <f t="shared" si="5"/>
        <v>79111.36</v>
      </c>
      <c r="BC27" s="17">
        <f>ROUND(MAX((AZ27-BB27-AP27-AQ27-AR27-AS27-AT27-AU27-AV27)*0.01*{3,10,20,25,30,35,45}-{0,2520,16920,31920,52920,85920,181920},0),2)</f>
        <v>15317.73</v>
      </c>
      <c r="BD27" s="17">
        <f>SUMIF(上月累计工资累计社保和公积金!C:C,C27,上月累计工资累计社保和公积金!L:L)</f>
        <v>11745.26</v>
      </c>
      <c r="BE27" s="17">
        <f t="shared" si="6"/>
        <v>3572.47</v>
      </c>
      <c r="BF27" s="17">
        <f t="shared" si="7"/>
        <v>20123.61</v>
      </c>
      <c r="BG27" s="231"/>
      <c r="BH27" s="232" t="str">
        <f>VLOOKUP(C27,考勤!C:AL,36,0)</f>
        <v>viczeng@youdoogo.com</v>
      </c>
      <c r="BI27" s="233">
        <f t="shared" si="8"/>
        <v>0</v>
      </c>
      <c r="BJ27" s="236"/>
      <c r="BK27" s="235"/>
      <c r="BL27" s="235"/>
      <c r="BM27" s="235"/>
      <c r="BN27" s="235"/>
    </row>
    <row r="28" s="202" customFormat="1" ht="15.75" customHeight="1" spans="1:66">
      <c r="A28" s="224">
        <f t="shared" si="9"/>
        <v>26</v>
      </c>
      <c r="B28" s="225" t="s">
        <v>101</v>
      </c>
      <c r="C28" s="226" t="s">
        <v>223</v>
      </c>
      <c r="D28" s="226" t="s">
        <v>224</v>
      </c>
      <c r="E28" s="226" t="s">
        <v>104</v>
      </c>
      <c r="F28" s="226" t="s">
        <v>101</v>
      </c>
      <c r="G28" s="227" t="s">
        <v>68</v>
      </c>
      <c r="H28" s="228">
        <v>45931</v>
      </c>
      <c r="I28" s="229"/>
      <c r="J28" s="230" t="s">
        <v>38</v>
      </c>
      <c r="K28" s="226" t="s">
        <v>225</v>
      </c>
      <c r="L28" s="227">
        <v>1</v>
      </c>
      <c r="M28" s="227" t="s">
        <v>38</v>
      </c>
      <c r="N28" s="226" t="s">
        <v>226</v>
      </c>
      <c r="O28" s="226" t="s">
        <v>227</v>
      </c>
      <c r="P28" s="17">
        <v>20000</v>
      </c>
      <c r="Q28" s="17">
        <f>ROUND(SUMIF(其他补发!B:B,$C28,其他补发!D:D),2)</f>
        <v>0</v>
      </c>
      <c r="R28" s="17">
        <f>ROUND(SUMIF(其他补发!B:B,$C28,其他补发!H:H),2)</f>
        <v>0</v>
      </c>
      <c r="S28" s="17">
        <f>ROUND(SUMIF(其他补发!B:B,$C28,其他补发!I:I),2)</f>
        <v>0</v>
      </c>
      <c r="T28" s="17">
        <f>ROUND(SUMIF(其他补发!B:B,$C28,其他补发!E:E),2)</f>
        <v>0</v>
      </c>
      <c r="U28" s="17">
        <f>ROUND((VLOOKUP(C28,考勤!C:H,6,0)+VLOOKUP(C28,考勤!C:O,13,0)+VLOOKUP(C28,考勤!C:P,14,0)*0.3+VLOOKUP(C28,考勤!C:AA,25,0))*(P28+Q28+R28)/21.75,2)+ROUND((VLOOKUP(C28,考勤!C:V,19,0)+VLOOKUP(C28,考勤!C:V,20,0))*(P28+Q28+R28-2520)/21.75,2)</f>
        <v>0</v>
      </c>
      <c r="V28" s="17">
        <f>ROUND(SUMIF(动态表!C:C,C28,动态表!AA:AA)+SUMIFS(其他补发!L:L,其他补发!B:B,C28),2)</f>
        <v>0</v>
      </c>
      <c r="W28" s="17">
        <f>ROUND(VLOOKUP(C28,考勤!C:K,9,0)*P28/21.75/8*2+VLOOKUP(C28,考勤!C:L,10,0)*P28/21.75/8*3,2)+SUMIFS(加班费!$H:$H,加班费!$D:$D,$C28)</f>
        <v>0</v>
      </c>
      <c r="X28" s="17">
        <f>SUMIF(奖金!D:D,C28,奖金!F:F)</f>
        <v>0</v>
      </c>
      <c r="Y28" s="17">
        <f>SUMIF(其他补发!B:B,C28,其他补发!J:J)</f>
        <v>0</v>
      </c>
      <c r="Z28" s="17">
        <f>SUMIF(其他补发!B:B,C28,其他补发!F:F)</f>
        <v>0</v>
      </c>
      <c r="AA28" s="17">
        <f>SUMIF(其他补发!B:B,C28,其他补发!G:G)</f>
        <v>0</v>
      </c>
      <c r="AB28" s="17">
        <f>SUMIF(其他补发!B:B,C28,其他补发!M:M)</f>
        <v>0</v>
      </c>
      <c r="AC28" s="17">
        <f>SUMIF(其他补发!B:B,C28,其他补发!N:N)</f>
        <v>0</v>
      </c>
      <c r="AD28" s="17">
        <f>SUMIF(其他补发!B:B,C28,其他补发!K:K)</f>
        <v>0</v>
      </c>
      <c r="AE28" s="17">
        <f t="shared" si="0"/>
        <v>0</v>
      </c>
      <c r="AF28" s="17">
        <f t="shared" si="1"/>
        <v>20000</v>
      </c>
      <c r="AG28" s="17">
        <f>SUMIF(税后扣款!B:B,C28,税后扣款!E:E)</f>
        <v>0</v>
      </c>
      <c r="AH28" s="17">
        <f>SUMIF(房租水电!A:A,C28,房租水电!C:C)</f>
        <v>0</v>
      </c>
      <c r="AI28" s="17">
        <f>SUMIF(房租水电!A:A,C28,房租水电!D:D)</f>
        <v>0</v>
      </c>
      <c r="AJ28" s="17">
        <f>SUMIF(税后扣款!B:B,C28,税后扣款!D:D)</f>
        <v>-160</v>
      </c>
      <c r="AK28" s="17">
        <f t="shared" si="2"/>
        <v>-160</v>
      </c>
      <c r="AL28" s="17">
        <f>SUMIF(社会保险!D:D,N28,社会保险!I:I)</f>
        <v>1600</v>
      </c>
      <c r="AM28" s="17">
        <f>SUMIF(社会保险!D:D,N28,社会保险!J:J)</f>
        <v>400</v>
      </c>
      <c r="AN28" s="17">
        <f>SUMIF(社会保险!D:D,N28,社会保险!K:K)</f>
        <v>40</v>
      </c>
      <c r="AO28" s="17">
        <f>SUMIF(公积金!C:C,N28,公积金!L:L)</f>
        <v>2400</v>
      </c>
      <c r="AP28" s="17">
        <f>SUMIF(专项扣除!$B:$B,$C28,专项扣除!D:D)</f>
        <v>0</v>
      </c>
      <c r="AQ28" s="17">
        <f>SUMIF(专项扣除!$B:$B,$C28,专项扣除!E:E)</f>
        <v>0</v>
      </c>
      <c r="AR28" s="17">
        <f>SUMIF(专项扣除!$B:$B,$C28,专项扣除!F:F)</f>
        <v>7000</v>
      </c>
      <c r="AS28" s="17">
        <f>SUMIF(专项扣除!$B:$B,$C28,专项扣除!G:G)</f>
        <v>0</v>
      </c>
      <c r="AT28" s="17">
        <f>SUMIF(专项扣除!$B:$B,$C28,专项扣除!H:H)</f>
        <v>0</v>
      </c>
      <c r="AU28" s="17">
        <f>SUMIF(专项扣除!$B:$B,$C28,专项扣除!I:I)</f>
        <v>0</v>
      </c>
      <c r="AV28" s="17">
        <f>SUMIF(专项扣除!$B:$B,$C28,专项扣除!J:J)</f>
        <v>0</v>
      </c>
      <c r="AW28" s="17">
        <v>5000</v>
      </c>
      <c r="AX28" s="17">
        <f t="shared" si="3"/>
        <v>9440</v>
      </c>
      <c r="AY28" s="17">
        <f>SUMIF(上月累计工资累计社保和公积金!C:C,C28,上月累计工资累计社保和公积金!E:E)</f>
        <v>141817.7</v>
      </c>
      <c r="AZ28" s="17">
        <f t="shared" si="4"/>
        <v>161817.7</v>
      </c>
      <c r="BA28" s="17">
        <f>SUMIF(上月累计工资累计社保和公积金!C:C,C28,上月累计工资累计社保和公积金!K:K)</f>
        <v>57680</v>
      </c>
      <c r="BB28" s="17">
        <f t="shared" si="5"/>
        <v>67120</v>
      </c>
      <c r="BC28" s="17">
        <f>ROUND(MAX((AZ28-BB28-AP28-AQ28-AR28-AS28-AT28-AU28-AV28)*0.01*{3,10,20,25,30,35,45}-{0,2520,16920,31920,52920,85920,181920},0),2)</f>
        <v>6249.77</v>
      </c>
      <c r="BD28" s="17">
        <f>SUMIF(上月累计工资累计社保和公积金!C:C,C28,上月累计工资累计社保和公积金!L:L)</f>
        <v>5193.77</v>
      </c>
      <c r="BE28" s="17">
        <f t="shared" si="6"/>
        <v>1056</v>
      </c>
      <c r="BF28" s="17">
        <f t="shared" si="7"/>
        <v>14664</v>
      </c>
      <c r="BG28" s="231"/>
      <c r="BH28" s="232" t="str">
        <f>VLOOKUP(C28,考勤!C:AL,36,0)</f>
        <v>allenlee@youdoogo.com</v>
      </c>
      <c r="BI28" s="233">
        <f t="shared" si="8"/>
        <v>0</v>
      </c>
      <c r="BJ28" s="236"/>
      <c r="BK28" s="235"/>
      <c r="BL28" s="235"/>
      <c r="BM28" s="235"/>
      <c r="BN28" s="235"/>
    </row>
    <row r="29" s="202" customFormat="1" ht="15.75" customHeight="1" spans="1:66">
      <c r="A29" s="224">
        <f t="shared" si="9"/>
        <v>27</v>
      </c>
      <c r="B29" s="225" t="s">
        <v>101</v>
      </c>
      <c r="C29" s="226" t="s">
        <v>228</v>
      </c>
      <c r="D29" s="226" t="s">
        <v>229</v>
      </c>
      <c r="E29" s="226" t="s">
        <v>104</v>
      </c>
      <c r="F29" s="226" t="s">
        <v>101</v>
      </c>
      <c r="G29" s="227" t="s">
        <v>65</v>
      </c>
      <c r="H29" s="228">
        <v>45939</v>
      </c>
      <c r="I29" s="229"/>
      <c r="J29" s="230" t="s">
        <v>36</v>
      </c>
      <c r="K29" s="226" t="s">
        <v>230</v>
      </c>
      <c r="L29" s="227">
        <v>1</v>
      </c>
      <c r="M29" s="226" t="s">
        <v>36</v>
      </c>
      <c r="N29" s="226" t="s">
        <v>231</v>
      </c>
      <c r="O29" s="226" t="s">
        <v>232</v>
      </c>
      <c r="P29" s="17">
        <v>25000</v>
      </c>
      <c r="Q29" s="17">
        <f>ROUND(SUMIF(其他补发!B:B,$C29,其他补发!D:D),2)</f>
        <v>0</v>
      </c>
      <c r="R29" s="17">
        <f>ROUND(SUMIF(其他补发!B:B,$C29,其他补发!H:H),2)</f>
        <v>0</v>
      </c>
      <c r="S29" s="17">
        <f>ROUND(SUMIF(其他补发!B:B,$C29,其他补发!I:I),2)</f>
        <v>0</v>
      </c>
      <c r="T29" s="17">
        <f>ROUND(SUMIF(其他补发!B:B,$C29,其他补发!E:E),2)</f>
        <v>0</v>
      </c>
      <c r="U29" s="17">
        <f>ROUND((VLOOKUP(C29,考勤!C:H,6,0)+VLOOKUP(C29,考勤!C:O,13,0)+VLOOKUP(C29,考勤!C:P,14,0)*0.3+VLOOKUP(C29,考勤!C:AA,25,0))*(P29+Q29+R29)/21.75,2)+ROUND((VLOOKUP(C29,考勤!C:V,19,0)+VLOOKUP(C29,考勤!C:V,20,0))*(P29+Q29+R29-2520)/21.75,2)</f>
        <v>0</v>
      </c>
      <c r="V29" s="17">
        <f>ROUND(SUMIF(动态表!C:C,C29,动态表!AA:AA)+SUMIFS(其他补发!L:L,其他补发!B:B,C29),2)</f>
        <v>0</v>
      </c>
      <c r="W29" s="17">
        <f>ROUND(VLOOKUP(C29,考勤!C:K,9,0)*P29/21.75/8*2+VLOOKUP(C29,考勤!C:L,10,0)*P29/21.75/8*3,2)+SUMIFS(加班费!$H:$H,加班费!$D:$D,$C29)</f>
        <v>0</v>
      </c>
      <c r="X29" s="17">
        <f>SUMIF(奖金!D:D,C29,奖金!F:F)</f>
        <v>0</v>
      </c>
      <c r="Y29" s="17">
        <f>SUMIF(其他补发!B:B,C29,其他补发!J:J)</f>
        <v>0</v>
      </c>
      <c r="Z29" s="17">
        <f>SUMIF(其他补发!B:B,C29,其他补发!F:F)</f>
        <v>0</v>
      </c>
      <c r="AA29" s="17">
        <f>SUMIF(其他补发!B:B,C29,其他补发!G:G)</f>
        <v>0</v>
      </c>
      <c r="AB29" s="17">
        <f>SUMIF(其他补发!B:B,C29,其他补发!M:M)</f>
        <v>0</v>
      </c>
      <c r="AC29" s="17">
        <f>SUMIF(其他补发!B:B,C29,其他补发!N:N)</f>
        <v>0</v>
      </c>
      <c r="AD29" s="17">
        <f>SUMIF(其他补发!B:B,C29,其他补发!K:K)</f>
        <v>0</v>
      </c>
      <c r="AE29" s="17">
        <f t="shared" si="0"/>
        <v>0</v>
      </c>
      <c r="AF29" s="17">
        <f t="shared" si="1"/>
        <v>25000</v>
      </c>
      <c r="AG29" s="17">
        <f>SUMIF(税后扣款!B:B,C29,税后扣款!E:E)</f>
        <v>0</v>
      </c>
      <c r="AH29" s="17">
        <f>SUMIF(房租水电!A:A,C29,房租水电!C:C)</f>
        <v>0</v>
      </c>
      <c r="AI29" s="17">
        <f>SUMIF(房租水电!A:A,C29,房租水电!D:D)</f>
        <v>0</v>
      </c>
      <c r="AJ29" s="17">
        <f>SUMIF(税后扣款!B:B,C29,税后扣款!D:D)</f>
        <v>-160</v>
      </c>
      <c r="AK29" s="17">
        <f t="shared" si="2"/>
        <v>-160</v>
      </c>
      <c r="AL29" s="17">
        <f>SUMIF(社会保险!D:D,N29,社会保险!I:I)</f>
        <v>2000</v>
      </c>
      <c r="AM29" s="17">
        <f>SUMIF(社会保险!D:D,N29,社会保险!J:J)</f>
        <v>500</v>
      </c>
      <c r="AN29" s="17">
        <f>SUMIF(社会保险!D:D,N29,社会保险!K:K)</f>
        <v>50</v>
      </c>
      <c r="AO29" s="17">
        <f>SUMIF(公积金!C:C,N29,公积金!L:L)</f>
        <v>1500</v>
      </c>
      <c r="AP29" s="17">
        <f>SUMIF(专项扣除!$B:$B,$C29,专项扣除!D:D)</f>
        <v>0</v>
      </c>
      <c r="AQ29" s="17">
        <f>SUMIF(专项扣除!$B:$B,$C29,专项扣除!E:E)</f>
        <v>0</v>
      </c>
      <c r="AR29" s="17">
        <f>SUMIF(专项扣除!$B:$B,$C29,专项扣除!F:F)</f>
        <v>0</v>
      </c>
      <c r="AS29" s="17">
        <f>SUMIF(专项扣除!$B:$B,$C29,专项扣除!G:G)</f>
        <v>0</v>
      </c>
      <c r="AT29" s="17">
        <f>SUMIF(专项扣除!$B:$B,$C29,专项扣除!H:H)</f>
        <v>0</v>
      </c>
      <c r="AU29" s="17">
        <f>SUMIF(专项扣除!$B:$B,$C29,专项扣除!I:I)</f>
        <v>0</v>
      </c>
      <c r="AV29" s="17">
        <f>SUMIF(专项扣除!$B:$B,$C29,专项扣除!J:J)</f>
        <v>0</v>
      </c>
      <c r="AW29" s="17">
        <v>5000</v>
      </c>
      <c r="AX29" s="17">
        <f t="shared" si="3"/>
        <v>9050</v>
      </c>
      <c r="AY29" s="17">
        <f>SUMIF(上月累计工资累计社保和公积金!C:C,C29,上月累计工资累计社保和公积金!E:E)</f>
        <v>175300</v>
      </c>
      <c r="AZ29" s="17">
        <f t="shared" si="4"/>
        <v>200300</v>
      </c>
      <c r="BA29" s="17">
        <f>SUMIF(上月累计工资累计社保和公积金!C:C,C29,上月累计工资累计社保和公积金!K:K)</f>
        <v>63350</v>
      </c>
      <c r="BB29" s="17">
        <f t="shared" si="5"/>
        <v>72400</v>
      </c>
      <c r="BC29" s="17">
        <f>ROUND(MAX((AZ29-BB29-AP29-AQ29-AR29-AS29-AT29-AU29-AV29)*0.01*{3,10,20,25,30,35,45}-{0,2520,16920,31920,52920,85920,181920},0),2)</f>
        <v>10270</v>
      </c>
      <c r="BD29" s="17">
        <f>SUMIF(上月累计工资累计社保和公积金!C:C,C29,上月累计工资累计社保和公积金!L:L)</f>
        <v>8675</v>
      </c>
      <c r="BE29" s="17">
        <f t="shared" si="6"/>
        <v>1595</v>
      </c>
      <c r="BF29" s="17">
        <f t="shared" si="7"/>
        <v>19515</v>
      </c>
      <c r="BG29" s="231"/>
      <c r="BH29" s="232" t="str">
        <f>VLOOKUP(C29,考勤!C:AL,36,0)</f>
        <v>x@youdoogo.com</v>
      </c>
      <c r="BI29" s="233">
        <f t="shared" si="8"/>
        <v>0</v>
      </c>
      <c r="BJ29" s="236"/>
      <c r="BK29" s="235"/>
      <c r="BL29" s="235"/>
      <c r="BM29" s="235"/>
      <c r="BN29" s="235"/>
    </row>
    <row r="30" s="202" customFormat="1" ht="15.75" customHeight="1" spans="1:66">
      <c r="A30" s="224">
        <f t="shared" si="9"/>
        <v>28</v>
      </c>
      <c r="B30" s="225" t="s">
        <v>101</v>
      </c>
      <c r="C30" s="226" t="s">
        <v>233</v>
      </c>
      <c r="D30" s="226" t="s">
        <v>234</v>
      </c>
      <c r="E30" s="226" t="s">
        <v>104</v>
      </c>
      <c r="F30" s="226" t="s">
        <v>101</v>
      </c>
      <c r="G30" s="227" t="s">
        <v>69</v>
      </c>
      <c r="H30" s="228">
        <v>45939</v>
      </c>
      <c r="I30" s="229"/>
      <c r="J30" s="230" t="s">
        <v>36</v>
      </c>
      <c r="K30" s="226" t="s">
        <v>235</v>
      </c>
      <c r="L30" s="227">
        <v>1</v>
      </c>
      <c r="M30" s="226" t="s">
        <v>36</v>
      </c>
      <c r="N30" s="226" t="s">
        <v>236</v>
      </c>
      <c r="O30" s="226" t="s">
        <v>237</v>
      </c>
      <c r="P30" s="17">
        <v>36000</v>
      </c>
      <c r="Q30" s="17">
        <f>ROUND(SUMIF(其他补发!B:B,$C30,其他补发!D:D),2)</f>
        <v>0</v>
      </c>
      <c r="R30" s="17">
        <f>ROUND(SUMIF(其他补发!B:B,$C30,其他补发!H:H),2)</f>
        <v>0</v>
      </c>
      <c r="S30" s="17">
        <f>ROUND(SUMIF(其他补发!B:B,$C30,其他补发!I:I),2)</f>
        <v>0</v>
      </c>
      <c r="T30" s="17">
        <f>ROUND(SUMIF(其他补发!B:B,$C30,其他补发!E:E),2)</f>
        <v>0</v>
      </c>
      <c r="U30" s="17">
        <f>ROUND((VLOOKUP(C30,考勤!C:H,6,0)+VLOOKUP(C30,考勤!C:O,13,0)+VLOOKUP(C30,考勤!C:P,14,0)*0.3+VLOOKUP(C30,考勤!C:AA,25,0))*(P30+Q30+R30)/21.75,2)+ROUND((VLOOKUP(C30,考勤!C:V,19,0)+VLOOKUP(C30,考勤!C:V,20,0))*(P30+Q30+R30-2520)/21.75,2)</f>
        <v>0</v>
      </c>
      <c r="V30" s="17">
        <f>ROUND(SUMIF(动态表!C:C,C30,动态表!AA:AA)+SUMIFS(其他补发!L:L,其他补发!B:B,C30),2)</f>
        <v>0</v>
      </c>
      <c r="W30" s="17">
        <f>ROUND(VLOOKUP(C30,考勤!C:K,9,0)*P30/21.75/8*2+VLOOKUP(C30,考勤!C:L,10,0)*P30/21.75/8*3,2)+SUMIFS(加班费!$H:$H,加班费!$D:$D,$C30)</f>
        <v>0</v>
      </c>
      <c r="X30" s="17">
        <f>SUMIF(奖金!D:D,C30,奖金!F:F)</f>
        <v>0</v>
      </c>
      <c r="Y30" s="17">
        <f>SUMIF(其他补发!B:B,C30,其他补发!J:J)</f>
        <v>0</v>
      </c>
      <c r="Z30" s="17">
        <f>SUMIF(其他补发!B:B,C30,其他补发!F:F)</f>
        <v>0</v>
      </c>
      <c r="AA30" s="17">
        <f>SUMIF(其他补发!B:B,C30,其他补发!G:G)</f>
        <v>0</v>
      </c>
      <c r="AB30" s="17">
        <f>SUMIF(其他补发!B:B,C30,其他补发!M:M)</f>
        <v>0</v>
      </c>
      <c r="AC30" s="17">
        <f>SUMIF(其他补发!B:B,C30,其他补发!N:N)</f>
        <v>0</v>
      </c>
      <c r="AD30" s="17">
        <f>SUMIF(其他补发!B:B,C30,其他补发!K:K)</f>
        <v>0</v>
      </c>
      <c r="AE30" s="17">
        <f t="shared" si="0"/>
        <v>0</v>
      </c>
      <c r="AF30" s="17">
        <f t="shared" si="1"/>
        <v>36000</v>
      </c>
      <c r="AG30" s="17">
        <f>SUMIF(税后扣款!B:B,C30,税后扣款!E:E)</f>
        <v>0</v>
      </c>
      <c r="AH30" s="17">
        <f>SUMIF(房租水电!A:A,C30,房租水电!C:C)</f>
        <v>0</v>
      </c>
      <c r="AI30" s="17">
        <f>SUMIF(房租水电!A:A,C30,房租水电!D:D)</f>
        <v>0</v>
      </c>
      <c r="AJ30" s="17">
        <f>SUMIF(税后扣款!B:B,C30,税后扣款!D:D)</f>
        <v>-160</v>
      </c>
      <c r="AK30" s="17">
        <f t="shared" si="2"/>
        <v>-160</v>
      </c>
      <c r="AL30" s="17">
        <f>SUMIF(社会保险!D:D,N30,社会保险!I:I)</f>
        <v>2203.92</v>
      </c>
      <c r="AM30" s="17">
        <f>SUMIF(社会保险!D:D,N30,社会保险!J:J)</f>
        <v>672.66</v>
      </c>
      <c r="AN30" s="17">
        <f>SUMIF(社会保险!D:D,N30,社会保险!K:K)</f>
        <v>72</v>
      </c>
      <c r="AO30" s="17">
        <f>SUMIF(公积金!C:C,N30,公积金!L:L)</f>
        <v>2160</v>
      </c>
      <c r="AP30" s="17">
        <f>SUMIF(专项扣除!$B:$B,$C30,专项扣除!D:D)</f>
        <v>0</v>
      </c>
      <c r="AQ30" s="17">
        <f>SUMIF(专项扣除!$B:$B,$C30,专项扣除!E:E)</f>
        <v>0</v>
      </c>
      <c r="AR30" s="17">
        <f>SUMIF(专项扣除!$B:$B,$C30,专项扣除!F:F)</f>
        <v>0</v>
      </c>
      <c r="AS30" s="17">
        <f>SUMIF(专项扣除!$B:$B,$C30,专项扣除!G:G)</f>
        <v>0</v>
      </c>
      <c r="AT30" s="17">
        <f>SUMIF(专项扣除!$B:$B,$C30,专项扣除!H:H)</f>
        <v>0</v>
      </c>
      <c r="AU30" s="17">
        <f>SUMIF(专项扣除!$B:$B,$C30,专项扣除!I:I)</f>
        <v>0</v>
      </c>
      <c r="AV30" s="17">
        <f>SUMIF(专项扣除!$B:$B,$C30,专项扣除!J:J)</f>
        <v>0</v>
      </c>
      <c r="AW30" s="17">
        <v>5000</v>
      </c>
      <c r="AX30" s="17">
        <f t="shared" si="3"/>
        <v>10108.58</v>
      </c>
      <c r="AY30" s="17">
        <f>SUMIF(上月累计工资累计社保和公积金!C:C,C30,上月累计工资累计社保和公积金!E:E)</f>
        <v>251472.41</v>
      </c>
      <c r="AZ30" s="17">
        <f t="shared" si="4"/>
        <v>287472.41</v>
      </c>
      <c r="BA30" s="17">
        <f>SUMIF(上月累计工资累计社保和公积金!C:C,C30,上月累计工资累计社保和公积金!K:K)</f>
        <v>70760.72</v>
      </c>
      <c r="BB30" s="17">
        <f t="shared" si="5"/>
        <v>80869.3</v>
      </c>
      <c r="BC30" s="17">
        <f>ROUND(MAX((AZ30-BB30-AP30-AQ30-AR30-AS30-AT30-AU30-AV30)*0.01*{3,10,20,25,30,35,45}-{0,2520,16920,31920,52920,85920,181920},0),2)</f>
        <v>24400.62</v>
      </c>
      <c r="BD30" s="17">
        <f>SUMIF(上月累计工资累计社保和公积金!C:C,C30,上月累计工资累计社保和公积金!L:L)</f>
        <v>19222.34</v>
      </c>
      <c r="BE30" s="17">
        <f t="shared" si="6"/>
        <v>5178.28</v>
      </c>
      <c r="BF30" s="17">
        <f t="shared" si="7"/>
        <v>25873.14</v>
      </c>
      <c r="BG30" s="231"/>
      <c r="BH30" s="232" t="str">
        <f>VLOOKUP(C30,考勤!C:AL,36,0)</f>
        <v>ollie@youdoogo.com</v>
      </c>
      <c r="BI30" s="233">
        <f t="shared" si="8"/>
        <v>0</v>
      </c>
      <c r="BJ30" s="236"/>
      <c r="BK30" s="235"/>
      <c r="BL30" s="235"/>
      <c r="BM30" s="235"/>
      <c r="BN30" s="235"/>
    </row>
    <row r="31" s="202" customFormat="1" ht="15.75" customHeight="1" spans="1:66">
      <c r="A31" s="224">
        <f t="shared" si="9"/>
        <v>29</v>
      </c>
      <c r="B31" s="225" t="s">
        <v>101</v>
      </c>
      <c r="C31" s="226" t="s">
        <v>238</v>
      </c>
      <c r="D31" s="226" t="s">
        <v>239</v>
      </c>
      <c r="E31" s="226" t="s">
        <v>104</v>
      </c>
      <c r="F31" s="226" t="s">
        <v>101</v>
      </c>
      <c r="G31" s="227" t="s">
        <v>65</v>
      </c>
      <c r="H31" s="228">
        <v>45939</v>
      </c>
      <c r="I31" s="229"/>
      <c r="J31" s="230" t="s">
        <v>36</v>
      </c>
      <c r="K31" s="226" t="s">
        <v>115</v>
      </c>
      <c r="L31" s="227">
        <v>1</v>
      </c>
      <c r="M31" s="227" t="s">
        <v>36</v>
      </c>
      <c r="N31" s="226" t="s">
        <v>240</v>
      </c>
      <c r="O31" s="226" t="s">
        <v>241</v>
      </c>
      <c r="P31" s="17">
        <v>20000</v>
      </c>
      <c r="Q31" s="17">
        <f>ROUND(SUMIF(其他补发!B:B,$C31,其他补发!D:D),2)</f>
        <v>0</v>
      </c>
      <c r="R31" s="17">
        <f>ROUND(SUMIF(其他补发!B:B,$C31,其他补发!H:H),2)</f>
        <v>0</v>
      </c>
      <c r="S31" s="17">
        <f>ROUND(SUMIF(其他补发!B:B,$C31,其他补发!I:I),2)</f>
        <v>0</v>
      </c>
      <c r="T31" s="17">
        <f>ROUND(SUMIF(其他补发!B:B,$C31,其他补发!E:E),2)</f>
        <v>0</v>
      </c>
      <c r="U31" s="17">
        <f>ROUND((VLOOKUP(C31,考勤!C:H,6,0)+VLOOKUP(C31,考勤!C:O,13,0)+VLOOKUP(C31,考勤!C:P,14,0)*0.3+VLOOKUP(C31,考勤!C:AA,25,0))*(P31+Q31+R31)/21.75,2)+ROUND((VLOOKUP(C31,考勤!C:V,19,0)+VLOOKUP(C31,考勤!C:V,20,0))*(P31+Q31+R31-2520)/21.75,2)</f>
        <v>0</v>
      </c>
      <c r="V31" s="17">
        <f>ROUND(SUMIF(动态表!C:C,C31,动态表!AA:AA)+SUMIFS(其他补发!L:L,其他补发!B:B,C31),2)</f>
        <v>0</v>
      </c>
      <c r="W31" s="17">
        <f>ROUND(VLOOKUP(C31,考勤!C:K,9,0)*P31/21.75/8*2+VLOOKUP(C31,考勤!C:L,10,0)*P31/21.75/8*3,2)+SUMIFS(加班费!$H:$H,加班费!$D:$D,$C31)</f>
        <v>0</v>
      </c>
      <c r="X31" s="17">
        <f>SUMIF(奖金!D:D,C31,奖金!F:F)</f>
        <v>0</v>
      </c>
      <c r="Y31" s="17">
        <f>SUMIF(其他补发!B:B,C31,其他补发!J:J)</f>
        <v>0</v>
      </c>
      <c r="Z31" s="17">
        <f>SUMIF(其他补发!B:B,C31,其他补发!F:F)</f>
        <v>0</v>
      </c>
      <c r="AA31" s="17">
        <f>SUMIF(其他补发!B:B,C31,其他补发!G:G)</f>
        <v>0</v>
      </c>
      <c r="AB31" s="17">
        <f>SUMIF(其他补发!B:B,C31,其他补发!M:M)</f>
        <v>0</v>
      </c>
      <c r="AC31" s="17">
        <f>SUMIF(其他补发!B:B,C31,其他补发!N:N)</f>
        <v>0</v>
      </c>
      <c r="AD31" s="17">
        <f>SUMIF(其他补发!B:B,C31,其他补发!K:K)</f>
        <v>0</v>
      </c>
      <c r="AE31" s="17">
        <f t="shared" si="0"/>
        <v>0</v>
      </c>
      <c r="AF31" s="17">
        <f t="shared" si="1"/>
        <v>20000</v>
      </c>
      <c r="AG31" s="17">
        <f>SUMIF(税后扣款!B:B,C31,税后扣款!E:E)</f>
        <v>0</v>
      </c>
      <c r="AH31" s="17">
        <f>SUMIF(房租水电!A:A,C31,房租水电!C:C)</f>
        <v>0</v>
      </c>
      <c r="AI31" s="17">
        <f>SUMIF(房租水电!A:A,C31,房租水电!D:D)</f>
        <v>0</v>
      </c>
      <c r="AJ31" s="17">
        <f>SUMIF(税后扣款!B:B,C31,税后扣款!D:D)</f>
        <v>0</v>
      </c>
      <c r="AK31" s="17">
        <f t="shared" si="2"/>
        <v>0</v>
      </c>
      <c r="AL31" s="17">
        <f>SUMIF(社会保险!D:D,N31,社会保险!I:I)</f>
        <v>1600</v>
      </c>
      <c r="AM31" s="17">
        <f>SUMIF(社会保险!D:D,N31,社会保险!J:J)</f>
        <v>400</v>
      </c>
      <c r="AN31" s="17">
        <f>SUMIF(社会保险!D:D,N31,社会保险!K:K)</f>
        <v>40</v>
      </c>
      <c r="AO31" s="17">
        <f>SUMIF(公积金!C:C,N31,公积金!L:L)</f>
        <v>1200</v>
      </c>
      <c r="AP31" s="17">
        <f>SUMIF(专项扣除!$B:$B,$C31,专项扣除!D:D)</f>
        <v>0</v>
      </c>
      <c r="AQ31" s="17">
        <f>SUMIF(专项扣除!$B:$B,$C31,专项扣除!E:E)</f>
        <v>0</v>
      </c>
      <c r="AR31" s="17">
        <f>SUMIF(专项扣除!$B:$B,$C31,专项扣除!F:F)</f>
        <v>0</v>
      </c>
      <c r="AS31" s="17">
        <f>SUMIF(专项扣除!$B:$B,$C31,专项扣除!G:G)</f>
        <v>0</v>
      </c>
      <c r="AT31" s="17">
        <f>SUMIF(专项扣除!$B:$B,$C31,专项扣除!H:H)</f>
        <v>0</v>
      </c>
      <c r="AU31" s="17">
        <f>SUMIF(专项扣除!$B:$B,$C31,专项扣除!I:I)</f>
        <v>0</v>
      </c>
      <c r="AV31" s="17">
        <f>SUMIF(专项扣除!$B:$B,$C31,专项扣除!J:J)</f>
        <v>0</v>
      </c>
      <c r="AW31" s="17">
        <v>5000</v>
      </c>
      <c r="AX31" s="17">
        <f t="shared" si="3"/>
        <v>8240</v>
      </c>
      <c r="AY31" s="17">
        <f>SUMIF(上月累计工资累计社保和公积金!C:C,C31,上月累计工资累计社保和公积金!E:E)</f>
        <v>139580.46</v>
      </c>
      <c r="AZ31" s="17">
        <f t="shared" si="4"/>
        <v>159580.46</v>
      </c>
      <c r="BA31" s="17">
        <f>SUMIF(上月累计工资累计社保和公积金!C:C,C31,上月累计工资累计社保和公积金!K:K)</f>
        <v>57680</v>
      </c>
      <c r="BB31" s="17">
        <f t="shared" si="5"/>
        <v>65920</v>
      </c>
      <c r="BC31" s="17">
        <f>ROUND(MAX((AZ31-BB31-AP31-AQ31-AR31-AS31-AT31-AU31-AV31)*0.01*{3,10,20,25,30,35,45}-{0,2520,16920,31920,52920,85920,181920},0),2)</f>
        <v>6846.05</v>
      </c>
      <c r="BD31" s="17">
        <f>SUMIF(上月累计工资累计社保和公积金!C:C,C31,上月累计工资累计社保和公积金!L:L)</f>
        <v>5670.05</v>
      </c>
      <c r="BE31" s="17">
        <f t="shared" si="6"/>
        <v>1176</v>
      </c>
      <c r="BF31" s="17">
        <f t="shared" si="7"/>
        <v>15584</v>
      </c>
      <c r="BG31" s="231"/>
      <c r="BH31" s="232" t="str">
        <f>VLOOKUP(C31,考勤!C:AL,36,0)</f>
        <v>julianfish@youdoogo.com</v>
      </c>
      <c r="BI31" s="233">
        <f t="shared" si="8"/>
        <v>0</v>
      </c>
      <c r="BJ31" s="236"/>
      <c r="BK31" s="235"/>
      <c r="BL31" s="235"/>
      <c r="BM31" s="235"/>
      <c r="BN31" s="235"/>
    </row>
    <row r="32" s="202" customFormat="1" ht="15.75" customHeight="1" spans="1:66">
      <c r="A32" s="224">
        <f t="shared" si="9"/>
        <v>30</v>
      </c>
      <c r="B32" s="225" t="s">
        <v>101</v>
      </c>
      <c r="C32" s="226" t="s">
        <v>242</v>
      </c>
      <c r="D32" s="226" t="s">
        <v>243</v>
      </c>
      <c r="E32" s="226" t="s">
        <v>104</v>
      </c>
      <c r="F32" s="226" t="s">
        <v>101</v>
      </c>
      <c r="G32" s="227" t="s">
        <v>65</v>
      </c>
      <c r="H32" s="228">
        <v>45939</v>
      </c>
      <c r="I32" s="229"/>
      <c r="J32" s="230" t="s">
        <v>36</v>
      </c>
      <c r="K32" s="226" t="s">
        <v>244</v>
      </c>
      <c r="L32" s="227">
        <v>1</v>
      </c>
      <c r="M32" s="227" t="s">
        <v>36</v>
      </c>
      <c r="N32" s="226" t="s">
        <v>245</v>
      </c>
      <c r="O32" s="226" t="s">
        <v>246</v>
      </c>
      <c r="P32" s="17">
        <v>24500</v>
      </c>
      <c r="Q32" s="17">
        <f>ROUND(SUMIF(其他补发!B:B,$C32,其他补发!D:D),2)</f>
        <v>0</v>
      </c>
      <c r="R32" s="17">
        <f>ROUND(SUMIF(其他补发!B:B,$C32,其他补发!H:H),2)</f>
        <v>0</v>
      </c>
      <c r="S32" s="17">
        <f>ROUND(SUMIF(其他补发!B:B,$C32,其他补发!I:I),2)</f>
        <v>0</v>
      </c>
      <c r="T32" s="17">
        <f>ROUND(SUMIF(其他补发!B:B,$C32,其他补发!E:E),2)</f>
        <v>0</v>
      </c>
      <c r="U32" s="17">
        <f>ROUND((VLOOKUP(C32,考勤!C:H,6,0)+VLOOKUP(C32,考勤!C:O,13,0)+VLOOKUP(C32,考勤!C:P,14,0)*0.3+VLOOKUP(C32,考勤!C:AA,25,0))*(P32+Q32+R32)/21.75,2)+ROUND((VLOOKUP(C32,考勤!C:V,19,0)+VLOOKUP(C32,考勤!C:V,20,0))*(P32+Q32+R32-2520)/21.75,2)</f>
        <v>0</v>
      </c>
      <c r="V32" s="17">
        <f>ROUND(SUMIF(动态表!C:C,C32,动态表!AA:AA)+SUMIFS(其他补发!L:L,其他补发!B:B,C32),2)</f>
        <v>0</v>
      </c>
      <c r="W32" s="17">
        <f>ROUND(VLOOKUP(C32,考勤!C:K,9,0)*P32/21.75/8*2+VLOOKUP(C32,考勤!C:L,10,0)*P32/21.75/8*3,2)+SUMIFS(加班费!$H:$H,加班费!$D:$D,$C32)</f>
        <v>0</v>
      </c>
      <c r="X32" s="17">
        <f>SUMIF(奖金!D:D,C32,奖金!F:F)</f>
        <v>0</v>
      </c>
      <c r="Y32" s="17">
        <f>SUMIF(其他补发!B:B,C32,其他补发!J:J)</f>
        <v>0</v>
      </c>
      <c r="Z32" s="17">
        <f>SUMIF(其他补发!B:B,C32,其他补发!F:F)</f>
        <v>0</v>
      </c>
      <c r="AA32" s="17">
        <f>SUMIF(其他补发!B:B,C32,其他补发!G:G)</f>
        <v>0</v>
      </c>
      <c r="AB32" s="17">
        <f>SUMIF(其他补发!B:B,C32,其他补发!M:M)</f>
        <v>0</v>
      </c>
      <c r="AC32" s="17">
        <f>SUMIF(其他补发!B:B,C32,其他补发!N:N)</f>
        <v>0</v>
      </c>
      <c r="AD32" s="17">
        <f>SUMIF(其他补发!B:B,C32,其他补发!K:K)</f>
        <v>0</v>
      </c>
      <c r="AE32" s="17">
        <f t="shared" si="0"/>
        <v>0</v>
      </c>
      <c r="AF32" s="17">
        <f t="shared" si="1"/>
        <v>24500</v>
      </c>
      <c r="AG32" s="17">
        <f>SUMIF(税后扣款!B:B,C32,税后扣款!E:E)</f>
        <v>0</v>
      </c>
      <c r="AH32" s="17">
        <f>SUMIF(房租水电!A:A,C32,房租水电!C:C)</f>
        <v>0</v>
      </c>
      <c r="AI32" s="17">
        <f>SUMIF(房租水电!A:A,C32,房租水电!D:D)</f>
        <v>0</v>
      </c>
      <c r="AJ32" s="17">
        <f>SUMIF(税后扣款!B:B,C32,税后扣款!D:D)</f>
        <v>-160</v>
      </c>
      <c r="AK32" s="17">
        <f t="shared" si="2"/>
        <v>-160</v>
      </c>
      <c r="AL32" s="17">
        <f>SUMIF(社会保险!D:D,N32,社会保险!I:I)</f>
        <v>1960</v>
      </c>
      <c r="AM32" s="17">
        <f>SUMIF(社会保险!D:D,N32,社会保险!J:J)</f>
        <v>490</v>
      </c>
      <c r="AN32" s="17">
        <f>SUMIF(社会保险!D:D,N32,社会保险!K:K)</f>
        <v>49</v>
      </c>
      <c r="AO32" s="17">
        <f>SUMIF(公积金!C:C,N32,公积金!L:L)</f>
        <v>1380</v>
      </c>
      <c r="AP32" s="17">
        <f>SUMIF(专项扣除!$B:$B,$C32,专项扣除!D:D)</f>
        <v>0</v>
      </c>
      <c r="AQ32" s="17">
        <f>SUMIF(专项扣除!$B:$B,$C32,专项扣除!E:E)</f>
        <v>0</v>
      </c>
      <c r="AR32" s="17">
        <f>SUMIF(专项扣除!$B:$B,$C32,专项扣除!F:F)</f>
        <v>0</v>
      </c>
      <c r="AS32" s="17">
        <f>SUMIF(专项扣除!$B:$B,$C32,专项扣除!G:G)</f>
        <v>0</v>
      </c>
      <c r="AT32" s="17">
        <f>SUMIF(专项扣除!$B:$B,$C32,专项扣除!H:H)</f>
        <v>0</v>
      </c>
      <c r="AU32" s="17">
        <f>SUMIF(专项扣除!$B:$B,$C32,专项扣除!I:I)</f>
        <v>0</v>
      </c>
      <c r="AV32" s="17">
        <f>SUMIF(专项扣除!$B:$B,$C32,专项扣除!J:J)</f>
        <v>0</v>
      </c>
      <c r="AW32" s="17">
        <v>5000</v>
      </c>
      <c r="AX32" s="17">
        <f t="shared" si="3"/>
        <v>8879</v>
      </c>
      <c r="AY32" s="17">
        <f>SUMIF(上月累计工资累计社保和公积金!C:C,C32,上月累计工资累计社保和公积金!E:E)</f>
        <v>166000</v>
      </c>
      <c r="AZ32" s="17">
        <f t="shared" si="4"/>
        <v>190500</v>
      </c>
      <c r="BA32" s="17">
        <f>SUMIF(上月累计工资累计社保和公积金!C:C,C32,上月累计工资累计社保和公积金!K:K)</f>
        <v>61541</v>
      </c>
      <c r="BB32" s="17">
        <f t="shared" si="5"/>
        <v>70420</v>
      </c>
      <c r="BC32" s="17">
        <f>ROUND(MAX((AZ32-BB32-AP32-AQ32-AR32-AS32-AT32-AU32-AV32)*0.01*{3,10,20,25,30,35,45}-{0,2520,16920,31920,52920,85920,181920},0),2)</f>
        <v>9488</v>
      </c>
      <c r="BD32" s="17">
        <f>SUMIF(上月累计工资累计社保和公积金!C:C,C32,上月累计工资累计社保和公积金!L:L)</f>
        <v>7925.9</v>
      </c>
      <c r="BE32" s="17">
        <f t="shared" si="6"/>
        <v>1562.1</v>
      </c>
      <c r="BF32" s="17">
        <f t="shared" si="7"/>
        <v>19218.9</v>
      </c>
      <c r="BG32" s="231"/>
      <c r="BH32" s="232" t="str">
        <f>VLOOKUP(C32,考勤!C:AL,36,0)</f>
        <v>atomsam@youdoogo.com</v>
      </c>
      <c r="BI32" s="233">
        <f t="shared" si="8"/>
        <v>0</v>
      </c>
      <c r="BJ32" s="236"/>
      <c r="BK32" s="235"/>
      <c r="BL32" s="235"/>
      <c r="BM32" s="235"/>
      <c r="BN32" s="235"/>
    </row>
    <row r="33" s="202" customFormat="1" ht="15.75" customHeight="1" spans="1:66">
      <c r="A33" s="224">
        <f t="shared" si="9"/>
        <v>31</v>
      </c>
      <c r="B33" s="225" t="s">
        <v>101</v>
      </c>
      <c r="C33" s="226" t="s">
        <v>247</v>
      </c>
      <c r="D33" s="226" t="s">
        <v>248</v>
      </c>
      <c r="E33" s="226" t="s">
        <v>104</v>
      </c>
      <c r="F33" s="226" t="s">
        <v>101</v>
      </c>
      <c r="G33" s="227" t="s">
        <v>68</v>
      </c>
      <c r="H33" s="228">
        <v>45952</v>
      </c>
      <c r="I33" s="229"/>
      <c r="J33" s="230" t="s">
        <v>38</v>
      </c>
      <c r="K33" s="226" t="s">
        <v>249</v>
      </c>
      <c r="L33" s="227">
        <v>1</v>
      </c>
      <c r="M33" s="227" t="s">
        <v>38</v>
      </c>
      <c r="N33" s="226" t="s">
        <v>250</v>
      </c>
      <c r="O33" s="226" t="s">
        <v>251</v>
      </c>
      <c r="P33" s="17">
        <v>9000</v>
      </c>
      <c r="Q33" s="17">
        <f>ROUND(SUMIF(其他补发!B:B,$C33,其他补发!D:D),2)</f>
        <v>0</v>
      </c>
      <c r="R33" s="17">
        <f>ROUND(SUMIF(其他补发!B:B,$C33,其他补发!H:H),2)</f>
        <v>0</v>
      </c>
      <c r="S33" s="17">
        <f>ROUND(SUMIF(其他补发!B:B,$C33,其他补发!I:I),2)</f>
        <v>0</v>
      </c>
      <c r="T33" s="17">
        <f>ROUND(SUMIF(其他补发!B:B,$C33,其他补发!E:E),2)</f>
        <v>0</v>
      </c>
      <c r="U33" s="17">
        <f>ROUND((VLOOKUP(C33,考勤!C:H,6,0)+VLOOKUP(C33,考勤!C:O,13,0)+VLOOKUP(C33,考勤!C:P,14,0)*0.3+VLOOKUP(C33,考勤!C:AA,25,0))*(P33+Q33+R33)/21.75,2)+ROUND((VLOOKUP(C33,考勤!C:V,19,0)+VLOOKUP(C33,考勤!C:V,20,0))*(P33+Q33+R33-2520)/21.75,2)</f>
        <v>0</v>
      </c>
      <c r="V33" s="17">
        <f>ROUND(SUMIF(动态表!C:C,C33,动态表!AA:AA)+SUMIFS(其他补发!L:L,其他补发!B:B,C33),2)</f>
        <v>0</v>
      </c>
      <c r="W33" s="17">
        <f>ROUND(VLOOKUP(C33,考勤!C:K,9,0)*P33/21.75/8*2+VLOOKUP(C33,考勤!C:L,10,0)*P33/21.75/8*3,2)+SUMIFS(加班费!$H:$H,加班费!$D:$D,$C33)</f>
        <v>0</v>
      </c>
      <c r="X33" s="17">
        <f>SUMIF(奖金!D:D,C33,奖金!F:F)</f>
        <v>0</v>
      </c>
      <c r="Y33" s="17">
        <f>SUMIF(其他补发!B:B,C33,其他补发!J:J)</f>
        <v>0</v>
      </c>
      <c r="Z33" s="17">
        <f>SUMIF(其他补发!B:B,C33,其他补发!F:F)</f>
        <v>0</v>
      </c>
      <c r="AA33" s="17">
        <f>SUMIF(其他补发!B:B,C33,其他补发!G:G)</f>
        <v>0</v>
      </c>
      <c r="AB33" s="17">
        <f>SUMIF(其他补发!B:B,C33,其他补发!M:M)</f>
        <v>0</v>
      </c>
      <c r="AC33" s="17">
        <f>SUMIF(其他补发!B:B,C33,其他补发!N:N)</f>
        <v>0</v>
      </c>
      <c r="AD33" s="17">
        <f>SUMIF(其他补发!B:B,C33,其他补发!K:K)</f>
        <v>0</v>
      </c>
      <c r="AE33" s="17">
        <f t="shared" si="0"/>
        <v>0</v>
      </c>
      <c r="AF33" s="17">
        <f t="shared" si="1"/>
        <v>9000</v>
      </c>
      <c r="AG33" s="17">
        <f>SUMIF(税后扣款!B:B,C33,税后扣款!E:E)</f>
        <v>0</v>
      </c>
      <c r="AH33" s="17">
        <f>SUMIF(房租水电!A:A,C33,房租水电!C:C)</f>
        <v>0</v>
      </c>
      <c r="AI33" s="17">
        <f>SUMIF(房租水电!A:A,C33,房租水电!D:D)</f>
        <v>0</v>
      </c>
      <c r="AJ33" s="17">
        <f>SUMIF(税后扣款!B:B,C33,税后扣款!D:D)</f>
        <v>1619.76</v>
      </c>
      <c r="AK33" s="17">
        <f t="shared" si="2"/>
        <v>1619.76</v>
      </c>
      <c r="AL33" s="17">
        <f>SUMIF(社会保险!D:D,N33,社会保险!I:I)</f>
        <v>720</v>
      </c>
      <c r="AM33" s="17">
        <f>SUMIF(社会保险!D:D,N33,社会保险!J:J)</f>
        <v>180</v>
      </c>
      <c r="AN33" s="17">
        <f>SUMIF(社会保险!D:D,N33,社会保险!K:K)</f>
        <v>18</v>
      </c>
      <c r="AO33" s="17">
        <f>SUMIF(公积金!C:C,N33,公积金!L:L)</f>
        <v>480</v>
      </c>
      <c r="AP33" s="17">
        <f>SUMIF(专项扣除!$B:$B,$C33,专项扣除!D:D)</f>
        <v>0</v>
      </c>
      <c r="AQ33" s="17">
        <f>SUMIF(专项扣除!$B:$B,$C33,专项扣除!E:E)</f>
        <v>0</v>
      </c>
      <c r="AR33" s="17">
        <f>SUMIF(专项扣除!$B:$B,$C33,专项扣除!F:F)</f>
        <v>0</v>
      </c>
      <c r="AS33" s="17">
        <f>SUMIF(专项扣除!$B:$B,$C33,专项扣除!G:G)</f>
        <v>9000</v>
      </c>
      <c r="AT33" s="17">
        <f>SUMIF(专项扣除!$B:$B,$C33,专项扣除!H:H)</f>
        <v>0</v>
      </c>
      <c r="AU33" s="17">
        <f>SUMIF(专项扣除!$B:$B,$C33,专项扣除!I:I)</f>
        <v>0</v>
      </c>
      <c r="AV33" s="17">
        <f>SUMIF(专项扣除!$B:$B,$C33,专项扣除!J:J)</f>
        <v>0</v>
      </c>
      <c r="AW33" s="17">
        <v>5000</v>
      </c>
      <c r="AX33" s="17">
        <f t="shared" si="3"/>
        <v>6398</v>
      </c>
      <c r="AY33" s="17">
        <f>SUMIF(上月累计工资累计社保和公积金!C:C,C33,上月累计工资累计社保和公积金!E:E)</f>
        <v>59500</v>
      </c>
      <c r="AZ33" s="17">
        <f t="shared" si="4"/>
        <v>68500</v>
      </c>
      <c r="BA33" s="17">
        <f>SUMIF(上月累计工资累计社保和公积金!C:C,C33,上月累计工资累计社保和公积金!K:K)</f>
        <v>44378</v>
      </c>
      <c r="BB33" s="17">
        <f t="shared" si="5"/>
        <v>50776</v>
      </c>
      <c r="BC33" s="17">
        <f>ROUND(MAX((AZ33-BB33-AP33-AQ33-AR33-AS33-AT33-AU33-AV33)*0.01*{3,10,20,25,30,35,45}-{0,2520,16920,31920,52920,85920,181920},0),2)</f>
        <v>261.72</v>
      </c>
      <c r="BD33" s="17">
        <f>SUMIF(上月累计工资累计社保和公积金!C:C,C33,上月累计工资累计社保和公积金!L:L)</f>
        <v>183.66</v>
      </c>
      <c r="BE33" s="17">
        <f t="shared" si="6"/>
        <v>78.06</v>
      </c>
      <c r="BF33" s="17">
        <f t="shared" si="7"/>
        <v>5904.18</v>
      </c>
      <c r="BG33" s="231"/>
      <c r="BH33" s="232" t="str">
        <f>VLOOKUP(C33,考勤!C:AL,36,0)</f>
        <v>penny@youdoogo.com</v>
      </c>
      <c r="BI33" s="233">
        <f t="shared" si="8"/>
        <v>0</v>
      </c>
      <c r="BJ33" s="236"/>
      <c r="BK33" s="235"/>
      <c r="BL33" s="235"/>
      <c r="BM33" s="235"/>
      <c r="BN33" s="235"/>
    </row>
    <row r="34" s="202" customFormat="1" ht="15.75" customHeight="1" spans="1:66">
      <c r="A34" s="224">
        <f t="shared" si="9"/>
        <v>32</v>
      </c>
      <c r="B34" s="225" t="s">
        <v>101</v>
      </c>
      <c r="C34" s="226" t="s">
        <v>252</v>
      </c>
      <c r="D34" s="226" t="s">
        <v>253</v>
      </c>
      <c r="E34" s="226" t="s">
        <v>104</v>
      </c>
      <c r="F34" s="226" t="s">
        <v>101</v>
      </c>
      <c r="G34" s="227" t="s">
        <v>65</v>
      </c>
      <c r="H34" s="228">
        <v>45964</v>
      </c>
      <c r="I34" s="229"/>
      <c r="J34" s="230" t="s">
        <v>36</v>
      </c>
      <c r="K34" s="226" t="s">
        <v>254</v>
      </c>
      <c r="L34" s="227">
        <v>1</v>
      </c>
      <c r="M34" s="226" t="s">
        <v>36</v>
      </c>
      <c r="N34" s="226" t="s">
        <v>255</v>
      </c>
      <c r="O34" s="226" t="s">
        <v>256</v>
      </c>
      <c r="P34" s="17">
        <v>20000</v>
      </c>
      <c r="Q34" s="17">
        <f>ROUND(SUMIF(其他补发!B:B,$C34,其他补发!D:D),2)</f>
        <v>0</v>
      </c>
      <c r="R34" s="17">
        <f>ROUND(SUMIF(其他补发!B:B,$C34,其他补发!H:H),2)</f>
        <v>0</v>
      </c>
      <c r="S34" s="17">
        <f>ROUND(SUMIF(其他补发!B:B,$C34,其他补发!I:I),2)</f>
        <v>0</v>
      </c>
      <c r="T34" s="17">
        <f>ROUND(SUMIF(其他补发!B:B,$C34,其他补发!E:E),2)</f>
        <v>0</v>
      </c>
      <c r="U34" s="17">
        <f>ROUND((VLOOKUP(C34,考勤!C:H,6,0)+VLOOKUP(C34,考勤!C:O,13,0)+VLOOKUP(C34,考勤!C:P,14,0)*0.3+VLOOKUP(C34,考勤!C:AA,25,0))*(P34+Q34+R34)/21.75,2)+ROUND((VLOOKUP(C34,考勤!C:V,19,0)+VLOOKUP(C34,考勤!C:V,20,0))*(P34+Q34+R34-2520)/21.75,2)</f>
        <v>0</v>
      </c>
      <c r="V34" s="17">
        <f>ROUND(SUMIF(动态表!C:C,C34,动态表!AA:AA)+SUMIFS(其他补发!L:L,其他补发!B:B,C34),2)</f>
        <v>0</v>
      </c>
      <c r="W34" s="17">
        <f>ROUND(VLOOKUP(C34,考勤!C:K,9,0)*P34/21.75/8*2+VLOOKUP(C34,考勤!C:L,10,0)*P34/21.75/8*3,2)+SUMIFS(加班费!$H:$H,加班费!$D:$D,$C34)</f>
        <v>0</v>
      </c>
      <c r="X34" s="17">
        <f>SUMIF(奖金!D:D,C34,奖金!F:F)</f>
        <v>0</v>
      </c>
      <c r="Y34" s="17">
        <f>SUMIF(其他补发!B:B,C34,其他补发!J:J)</f>
        <v>0</v>
      </c>
      <c r="Z34" s="17">
        <f>SUMIF(其他补发!B:B,C34,其他补发!F:F)</f>
        <v>0</v>
      </c>
      <c r="AA34" s="17">
        <f>SUMIF(其他补发!B:B,C34,其他补发!G:G)</f>
        <v>0</v>
      </c>
      <c r="AB34" s="17">
        <f>SUMIF(其他补发!B:B,C34,其他补发!M:M)</f>
        <v>0</v>
      </c>
      <c r="AC34" s="17">
        <f>SUMIF(其他补发!B:B,C34,其他补发!N:N)</f>
        <v>0</v>
      </c>
      <c r="AD34" s="17">
        <f>SUMIF(其他补发!B:B,C34,其他补发!K:K)</f>
        <v>0</v>
      </c>
      <c r="AE34" s="17">
        <f t="shared" si="0"/>
        <v>0</v>
      </c>
      <c r="AF34" s="17">
        <f t="shared" si="1"/>
        <v>20000</v>
      </c>
      <c r="AG34" s="17">
        <f>SUMIF(税后扣款!B:B,C34,税后扣款!E:E)</f>
        <v>0</v>
      </c>
      <c r="AH34" s="17">
        <f>SUMIF(房租水电!A:A,C34,房租水电!C:C)</f>
        <v>0</v>
      </c>
      <c r="AI34" s="17">
        <f>SUMIF(房租水电!A:A,C34,房租水电!D:D)</f>
        <v>0</v>
      </c>
      <c r="AJ34" s="17">
        <f>SUMIF(税后扣款!B:B,C34,税后扣款!D:D)</f>
        <v>0</v>
      </c>
      <c r="AK34" s="17">
        <f t="shared" si="2"/>
        <v>0</v>
      </c>
      <c r="AL34" s="17">
        <f>SUMIF(社会保险!D:D,N34,社会保险!I:I)</f>
        <v>1600</v>
      </c>
      <c r="AM34" s="17">
        <f>SUMIF(社会保险!D:D,N34,社会保险!J:J)</f>
        <v>400</v>
      </c>
      <c r="AN34" s="17">
        <f>SUMIF(社会保险!D:D,N34,社会保险!K:K)</f>
        <v>40</v>
      </c>
      <c r="AO34" s="17">
        <f>SUMIF(公积金!C:C,N34,公积金!L:L)</f>
        <v>1140</v>
      </c>
      <c r="AP34" s="17">
        <f>SUMIF(专项扣除!$B:$B,$C34,专项扣除!D:D)</f>
        <v>0</v>
      </c>
      <c r="AQ34" s="17">
        <f>SUMIF(专项扣除!$B:$B,$C34,专项扣除!E:E)</f>
        <v>0</v>
      </c>
      <c r="AR34" s="17">
        <f>SUMIF(专项扣除!$B:$B,$C34,专项扣除!F:F)</f>
        <v>0</v>
      </c>
      <c r="AS34" s="17">
        <f>SUMIF(专项扣除!$B:$B,$C34,专项扣除!G:G)</f>
        <v>0</v>
      </c>
      <c r="AT34" s="17">
        <f>SUMIF(专项扣除!$B:$B,$C34,专项扣除!H:H)</f>
        <v>0</v>
      </c>
      <c r="AU34" s="17">
        <f>SUMIF(专项扣除!$B:$B,$C34,专项扣除!I:I)</f>
        <v>0</v>
      </c>
      <c r="AV34" s="17">
        <f>SUMIF(专项扣除!$B:$B,$C34,专项扣除!J:J)</f>
        <v>0</v>
      </c>
      <c r="AW34" s="17">
        <v>5000</v>
      </c>
      <c r="AX34" s="17">
        <f t="shared" si="3"/>
        <v>8180</v>
      </c>
      <c r="AY34" s="17">
        <f>SUMIF(上月累计工资累计社保和公积金!C:C,C34,上月累计工资累计社保和公积金!E:E)</f>
        <v>136300</v>
      </c>
      <c r="AZ34" s="17">
        <f t="shared" si="4"/>
        <v>156300</v>
      </c>
      <c r="BA34" s="17">
        <f>SUMIF(上月累计工资累计社保和公积金!C:C,C34,上月累计工资累计社保和公积金!K:K)</f>
        <v>56852</v>
      </c>
      <c r="BB34" s="17">
        <f t="shared" si="5"/>
        <v>65032</v>
      </c>
      <c r="BC34" s="17">
        <f>ROUND(MAX((AZ34-BB34-AP34-AQ34-AR34-AS34-AT34-AU34-AV34)*0.01*{3,10,20,25,30,35,45}-{0,2520,16920,31920,52920,85920,181920},0),2)</f>
        <v>6606.8</v>
      </c>
      <c r="BD34" s="17">
        <f>SUMIF(上月累计工资累计社保和公积金!C:C,C34,上月累计工资累计社保和公积金!L:L)</f>
        <v>5424.8</v>
      </c>
      <c r="BE34" s="17">
        <f t="shared" si="6"/>
        <v>1182</v>
      </c>
      <c r="BF34" s="17">
        <f t="shared" si="7"/>
        <v>15638</v>
      </c>
      <c r="BG34" s="231"/>
      <c r="BH34" s="232" t="str">
        <f>VLOOKUP(C34,考勤!C:AL,36,0)</f>
        <v>lane@youdoogo.com</v>
      </c>
      <c r="BI34" s="233">
        <f t="shared" si="8"/>
        <v>0</v>
      </c>
      <c r="BJ34" s="236"/>
      <c r="BK34" s="235"/>
      <c r="BL34" s="235"/>
      <c r="BM34" s="235"/>
      <c r="BN34" s="235"/>
    </row>
    <row r="35" s="202" customFormat="1" ht="15.75" customHeight="1" spans="1:66">
      <c r="A35" s="224">
        <f t="shared" si="9"/>
        <v>33</v>
      </c>
      <c r="B35" s="225" t="s">
        <v>101</v>
      </c>
      <c r="C35" s="226" t="s">
        <v>257</v>
      </c>
      <c r="D35" s="226" t="s">
        <v>258</v>
      </c>
      <c r="E35" s="226" t="s">
        <v>104</v>
      </c>
      <c r="F35" s="226" t="s">
        <v>101</v>
      </c>
      <c r="G35" s="227" t="s">
        <v>65</v>
      </c>
      <c r="H35" s="228">
        <v>45972</v>
      </c>
      <c r="I35" s="229"/>
      <c r="J35" s="230" t="s">
        <v>36</v>
      </c>
      <c r="K35" s="226" t="s">
        <v>259</v>
      </c>
      <c r="L35" s="227">
        <v>1</v>
      </c>
      <c r="M35" s="226" t="s">
        <v>36</v>
      </c>
      <c r="N35" s="226" t="s">
        <v>260</v>
      </c>
      <c r="O35" s="226" t="s">
        <v>261</v>
      </c>
      <c r="P35" s="17">
        <v>33000</v>
      </c>
      <c r="Q35" s="17">
        <f>ROUND(SUMIF(其他补发!B:B,$C35,其他补发!D:D),2)</f>
        <v>0</v>
      </c>
      <c r="R35" s="17">
        <f>ROUND(SUMIF(其他补发!B:B,$C35,其他补发!H:H),2)</f>
        <v>0</v>
      </c>
      <c r="S35" s="17">
        <f>ROUND(SUMIF(其他补发!B:B,$C35,其他补发!I:I),2)</f>
        <v>0</v>
      </c>
      <c r="T35" s="17">
        <f>ROUND(SUMIF(其他补发!B:B,$C35,其他补发!E:E),2)</f>
        <v>0</v>
      </c>
      <c r="U35" s="17">
        <f>ROUND((VLOOKUP(C35,考勤!C:H,6,0)+VLOOKUP(C35,考勤!C:O,13,0)+VLOOKUP(C35,考勤!C:P,14,0)*0.3+VLOOKUP(C35,考勤!C:AA,25,0))*(P35+Q35+R35)/21.75,2)+ROUND((VLOOKUP(C35,考勤!C:V,19,0)+VLOOKUP(C35,考勤!C:V,20,0))*(P35+Q35+R35-2520)/21.75,2)</f>
        <v>0</v>
      </c>
      <c r="V35" s="17">
        <f>ROUND(SUMIF(动态表!C:C,C35,动态表!AA:AA)+SUMIFS(其他补发!L:L,其他补发!B:B,C35),2)</f>
        <v>0</v>
      </c>
      <c r="W35" s="17">
        <f>ROUND(VLOOKUP(C35,考勤!C:K,9,0)*P35/21.75/8*2+VLOOKUP(C35,考勤!C:L,10,0)*P35/21.75/8*3,2)+SUMIFS(加班费!$H:$H,加班费!$D:$D,$C35)</f>
        <v>0</v>
      </c>
      <c r="X35" s="17">
        <f>SUMIF(奖金!D:D,C35,奖金!F:F)</f>
        <v>0</v>
      </c>
      <c r="Y35" s="17">
        <f>SUMIF(其他补发!B:B,C35,其他补发!J:J)</f>
        <v>0</v>
      </c>
      <c r="Z35" s="17">
        <f>SUMIF(其他补发!B:B,C35,其他补发!F:F)</f>
        <v>0</v>
      </c>
      <c r="AA35" s="17">
        <f>SUMIF(其他补发!B:B,C35,其他补发!G:G)</f>
        <v>0</v>
      </c>
      <c r="AB35" s="17">
        <f>SUMIF(其他补发!B:B,C35,其他补发!M:M)</f>
        <v>0</v>
      </c>
      <c r="AC35" s="17">
        <f>SUMIF(其他补发!B:B,C35,其他补发!N:N)</f>
        <v>0</v>
      </c>
      <c r="AD35" s="17">
        <f>SUMIF(其他补发!B:B,C35,其他补发!K:K)</f>
        <v>0</v>
      </c>
      <c r="AE35" s="17">
        <f t="shared" si="0"/>
        <v>0</v>
      </c>
      <c r="AF35" s="17">
        <f t="shared" si="1"/>
        <v>33000</v>
      </c>
      <c r="AG35" s="17">
        <f>SUMIF(税后扣款!B:B,C35,税后扣款!E:E)</f>
        <v>0</v>
      </c>
      <c r="AH35" s="17">
        <f>SUMIF(房租水电!A:A,C35,房租水电!C:C)</f>
        <v>0</v>
      </c>
      <c r="AI35" s="17">
        <f>SUMIF(房租水电!A:A,C35,房租水电!D:D)</f>
        <v>0</v>
      </c>
      <c r="AJ35" s="17">
        <f>SUMIF(税后扣款!B:B,C35,税后扣款!D:D)</f>
        <v>0</v>
      </c>
      <c r="AK35" s="17">
        <f t="shared" si="2"/>
        <v>0</v>
      </c>
      <c r="AL35" s="17">
        <f>SUMIF(社会保险!D:D,N35,社会保险!I:I)</f>
        <v>2203.92</v>
      </c>
      <c r="AM35" s="17">
        <f>SUMIF(社会保险!D:D,N35,社会保险!J:J)</f>
        <v>660</v>
      </c>
      <c r="AN35" s="17">
        <f>SUMIF(社会保险!D:D,N35,社会保险!K:K)</f>
        <v>66</v>
      </c>
      <c r="AO35" s="17">
        <f>SUMIF(公积金!C:C,N35,公积金!L:L)</f>
        <v>1800</v>
      </c>
      <c r="AP35" s="17">
        <f>SUMIF(专项扣除!$B:$B,$C35,专项扣除!D:D)</f>
        <v>0</v>
      </c>
      <c r="AQ35" s="17">
        <f>SUMIF(专项扣除!$B:$B,$C35,专项扣除!E:E)</f>
        <v>0</v>
      </c>
      <c r="AR35" s="17">
        <f>SUMIF(专项扣除!$B:$B,$C35,专项扣除!F:F)</f>
        <v>0</v>
      </c>
      <c r="AS35" s="17">
        <f>SUMIF(专项扣除!$B:$B,$C35,专项扣除!G:G)</f>
        <v>0</v>
      </c>
      <c r="AT35" s="17">
        <f>SUMIF(专项扣除!$B:$B,$C35,专项扣除!H:H)</f>
        <v>0</v>
      </c>
      <c r="AU35" s="17">
        <f>SUMIF(专项扣除!$B:$B,$C35,专项扣除!I:I)</f>
        <v>0</v>
      </c>
      <c r="AV35" s="17">
        <f>SUMIF(专项扣除!$B:$B,$C35,专项扣除!J:J)</f>
        <v>0</v>
      </c>
      <c r="AW35" s="17">
        <v>5000</v>
      </c>
      <c r="AX35" s="17">
        <f t="shared" si="3"/>
        <v>9729.92</v>
      </c>
      <c r="AY35" s="17">
        <f>SUMIF(上月累计工资累计社保和公积金!C:C,C35,上月累计工资累计社保和公积金!E:E)</f>
        <v>218120.69</v>
      </c>
      <c r="AZ35" s="17">
        <f t="shared" si="4"/>
        <v>251120.69</v>
      </c>
      <c r="BA35" s="17">
        <f>SUMIF(上月累计工资累计社保和公积金!C:C,C35,上月累计工资累计社保和公积金!K:K)</f>
        <v>67845.44</v>
      </c>
      <c r="BB35" s="17">
        <f t="shared" si="5"/>
        <v>77575.36</v>
      </c>
      <c r="BC35" s="17">
        <f>ROUND(MAX((AZ35-BB35-AP35-AQ35-AR35-AS35-AT35-AU35-AV35)*0.01*{3,10,20,25,30,35,45}-{0,2520,16920,31920,52920,85920,181920},0),2)</f>
        <v>17789.07</v>
      </c>
      <c r="BD35" s="17">
        <f>SUMIF(上月累计工资累计社保和公积金!C:C,C35,上月累计工资累计社保和公积金!L:L)</f>
        <v>13135.05</v>
      </c>
      <c r="BE35" s="17">
        <f t="shared" si="6"/>
        <v>4654.02</v>
      </c>
      <c r="BF35" s="17">
        <f t="shared" si="7"/>
        <v>23616.06</v>
      </c>
      <c r="BG35" s="231"/>
      <c r="BH35" s="232" t="str">
        <f>VLOOKUP(C35,考勤!C:AL,36,0)</f>
        <v>zhouhao@youdoogo.com</v>
      </c>
      <c r="BI35" s="233">
        <f t="shared" si="8"/>
        <v>0</v>
      </c>
      <c r="BJ35" s="236"/>
      <c r="BK35" s="235"/>
      <c r="BL35" s="235"/>
      <c r="BM35" s="235"/>
      <c r="BN35" s="235"/>
    </row>
    <row r="36" s="202" customFormat="1" ht="15.75" customHeight="1" spans="1:66">
      <c r="A36" s="224">
        <f t="shared" si="9"/>
        <v>34</v>
      </c>
      <c r="B36" s="225" t="s">
        <v>101</v>
      </c>
      <c r="C36" s="226" t="s">
        <v>262</v>
      </c>
      <c r="D36" s="226" t="s">
        <v>263</v>
      </c>
      <c r="E36" s="226" t="s">
        <v>104</v>
      </c>
      <c r="F36" s="226" t="s">
        <v>101</v>
      </c>
      <c r="G36" s="227" t="s">
        <v>65</v>
      </c>
      <c r="H36" s="228">
        <v>45973</v>
      </c>
      <c r="I36" s="229"/>
      <c r="J36" s="230" t="s">
        <v>36</v>
      </c>
      <c r="K36" s="226" t="s">
        <v>264</v>
      </c>
      <c r="L36" s="227">
        <v>1</v>
      </c>
      <c r="M36" s="226" t="s">
        <v>36</v>
      </c>
      <c r="N36" s="226" t="s">
        <v>265</v>
      </c>
      <c r="O36" s="226" t="s">
        <v>266</v>
      </c>
      <c r="P36" s="17">
        <v>45000</v>
      </c>
      <c r="Q36" s="17">
        <f>ROUND(SUMIF(其他补发!B:B,$C36,其他补发!D:D),2)</f>
        <v>0</v>
      </c>
      <c r="R36" s="17">
        <f>ROUND(SUMIF(其他补发!B:B,$C36,其他补发!H:H),2)</f>
        <v>0</v>
      </c>
      <c r="S36" s="17">
        <f>ROUND(SUMIF(其他补发!B:B,$C36,其他补发!I:I),2)</f>
        <v>0</v>
      </c>
      <c r="T36" s="17">
        <f>ROUND(SUMIF(其他补发!B:B,$C36,其他补发!E:E),2)</f>
        <v>0</v>
      </c>
      <c r="U36" s="17">
        <f>ROUND((VLOOKUP(C36,考勤!C:H,6,0)+VLOOKUP(C36,考勤!C:O,13,0)+VLOOKUP(C36,考勤!C:P,14,0)*0.3+VLOOKUP(C36,考勤!C:AA,25,0))*(P36+Q36+R36)/21.75,2)+ROUND((VLOOKUP(C36,考勤!C:V,19,0)+VLOOKUP(C36,考勤!C:V,20,0))*(P36+Q36+R36-2520)/21.75,2)</f>
        <v>0</v>
      </c>
      <c r="V36" s="17">
        <f>ROUND(SUMIF(动态表!C:C,C36,动态表!AA:AA)+SUMIFS(其他补发!L:L,其他补发!B:B,C36),2)</f>
        <v>0</v>
      </c>
      <c r="W36" s="17">
        <f>ROUND(VLOOKUP(C36,考勤!C:K,9,0)*P36/21.75/8*2+VLOOKUP(C36,考勤!C:L,10,0)*P36/21.75/8*3,2)+SUMIFS(加班费!$H:$H,加班费!$D:$D,$C36)</f>
        <v>0</v>
      </c>
      <c r="X36" s="17">
        <f>SUMIF(奖金!D:D,C36,奖金!F:F)</f>
        <v>0</v>
      </c>
      <c r="Y36" s="17">
        <f>SUMIF(其他补发!B:B,C36,其他补发!J:J)</f>
        <v>0</v>
      </c>
      <c r="Z36" s="17">
        <f>SUMIF(其他补发!B:B,C36,其他补发!F:F)</f>
        <v>0</v>
      </c>
      <c r="AA36" s="17">
        <f>SUMIF(其他补发!B:B,C36,其他补发!G:G)</f>
        <v>0</v>
      </c>
      <c r="AB36" s="17">
        <f>SUMIF(其他补发!B:B,C36,其他补发!M:M)</f>
        <v>0</v>
      </c>
      <c r="AC36" s="17">
        <f>SUMIF(其他补发!B:B,C36,其他补发!N:N)</f>
        <v>0</v>
      </c>
      <c r="AD36" s="17">
        <f>SUMIF(其他补发!B:B,C36,其他补发!K:K)</f>
        <v>0</v>
      </c>
      <c r="AE36" s="17">
        <f t="shared" si="0"/>
        <v>0</v>
      </c>
      <c r="AF36" s="17">
        <f t="shared" si="1"/>
        <v>45000</v>
      </c>
      <c r="AG36" s="17">
        <f>SUMIF(税后扣款!B:B,C36,税后扣款!E:E)</f>
        <v>0</v>
      </c>
      <c r="AH36" s="17">
        <f>SUMIF(房租水电!A:A,C36,房租水电!C:C)</f>
        <v>0</v>
      </c>
      <c r="AI36" s="17">
        <f>SUMIF(房租水电!A:A,C36,房租水电!D:D)</f>
        <v>0</v>
      </c>
      <c r="AJ36" s="17">
        <f>SUMIF(税后扣款!B:B,C36,税后扣款!D:D)</f>
        <v>-160</v>
      </c>
      <c r="AK36" s="17">
        <f t="shared" si="2"/>
        <v>-160</v>
      </c>
      <c r="AL36" s="17">
        <f>SUMIF(社会保险!D:D,N36,社会保险!I:I)</f>
        <v>2203.92</v>
      </c>
      <c r="AM36" s="17">
        <f>SUMIF(社会保险!D:D,N36,社会保险!J:J)</f>
        <v>672.66</v>
      </c>
      <c r="AN36" s="17">
        <f>SUMIF(社会保险!D:D,N36,社会保险!K:K)</f>
        <v>90</v>
      </c>
      <c r="AO36" s="17">
        <f>SUMIF(公积金!C:C,N36,公积金!L:L)</f>
        <v>2655.9</v>
      </c>
      <c r="AP36" s="17">
        <f>SUMIF(专项扣除!$B:$B,$C36,专项扣除!D:D)</f>
        <v>0</v>
      </c>
      <c r="AQ36" s="17">
        <f>SUMIF(专项扣除!$B:$B,$C36,专项扣除!E:E)</f>
        <v>0</v>
      </c>
      <c r="AR36" s="17">
        <f>SUMIF(专项扣除!$B:$B,$C36,专项扣除!F:F)</f>
        <v>0</v>
      </c>
      <c r="AS36" s="17">
        <f>SUMIF(专项扣除!$B:$B,$C36,专项扣除!G:G)</f>
        <v>0</v>
      </c>
      <c r="AT36" s="17">
        <f>SUMIF(专项扣除!$B:$B,$C36,专项扣除!H:H)</f>
        <v>0</v>
      </c>
      <c r="AU36" s="17">
        <f>SUMIF(专项扣除!$B:$B,$C36,专项扣除!I:I)</f>
        <v>0</v>
      </c>
      <c r="AV36" s="17">
        <f>SUMIF(专项扣除!$B:$B,$C36,专项扣除!J:J)</f>
        <v>0</v>
      </c>
      <c r="AW36" s="17">
        <v>5000</v>
      </c>
      <c r="AX36" s="17">
        <f t="shared" si="3"/>
        <v>10622.48</v>
      </c>
      <c r="AY36" s="17">
        <f>SUMIF(上月累计工资累计社保和公积金!C:C,C36,上月累计工资累计社保和公积金!E:E)</f>
        <v>315300</v>
      </c>
      <c r="AZ36" s="17">
        <f t="shared" si="4"/>
        <v>360300</v>
      </c>
      <c r="BA36" s="17">
        <f>SUMIF(上月累计工资累计社保和公积金!C:C,C36,上月累计工资累计社保和公积金!K:K)</f>
        <v>74347.73</v>
      </c>
      <c r="BB36" s="17">
        <f t="shared" si="5"/>
        <v>84970.21</v>
      </c>
      <c r="BC36" s="17">
        <f>ROUND(MAX((AZ36-BB36-AP36-AQ36-AR36-AS36-AT36-AU36-AV36)*0.01*{3,10,20,25,30,35,45}-{0,2520,16920,31920,52920,85920,181920},0),2)</f>
        <v>38145.96</v>
      </c>
      <c r="BD36" s="17">
        <f>SUMIF(上月累计工资累计社保和公积金!C:C,C36,上月累计工资累计社保和公积金!L:L)</f>
        <v>31270.45</v>
      </c>
      <c r="BE36" s="17">
        <f t="shared" si="6"/>
        <v>6875.51</v>
      </c>
      <c r="BF36" s="17">
        <f t="shared" si="7"/>
        <v>32662.01</v>
      </c>
      <c r="BG36" s="231"/>
      <c r="BH36" s="232" t="str">
        <f>VLOOKUP(C36,考勤!C:AL,36,0)</f>
        <v>sunner@youdoogo.com</v>
      </c>
      <c r="BI36" s="233">
        <f t="shared" si="8"/>
        <v>0</v>
      </c>
      <c r="BJ36" s="236"/>
      <c r="BK36" s="235"/>
      <c r="BL36" s="235"/>
      <c r="BM36" s="235"/>
      <c r="BN36" s="235"/>
    </row>
    <row r="37" s="202" customFormat="1" ht="15.75" customHeight="1" spans="1:66">
      <c r="A37" s="224">
        <f t="shared" si="9"/>
        <v>35</v>
      </c>
      <c r="B37" s="225" t="s">
        <v>101</v>
      </c>
      <c r="C37" s="226" t="s">
        <v>267</v>
      </c>
      <c r="D37" s="226" t="s">
        <v>268</v>
      </c>
      <c r="E37" s="226" t="s">
        <v>104</v>
      </c>
      <c r="F37" s="226" t="s">
        <v>101</v>
      </c>
      <c r="G37" s="227" t="s">
        <v>69</v>
      </c>
      <c r="H37" s="228">
        <v>45973</v>
      </c>
      <c r="I37" s="229"/>
      <c r="J37" s="230" t="s">
        <v>36</v>
      </c>
      <c r="K37" s="226" t="s">
        <v>269</v>
      </c>
      <c r="L37" s="227">
        <v>1</v>
      </c>
      <c r="M37" s="226" t="s">
        <v>36</v>
      </c>
      <c r="N37" s="226" t="s">
        <v>270</v>
      </c>
      <c r="O37" s="226" t="s">
        <v>271</v>
      </c>
      <c r="P37" s="17">
        <v>21000</v>
      </c>
      <c r="Q37" s="17">
        <f>ROUND(SUMIF(其他补发!B:B,$C37,其他补发!D:D),2)</f>
        <v>0</v>
      </c>
      <c r="R37" s="17">
        <f>ROUND(SUMIF(其他补发!B:B,$C37,其他补发!H:H),2)</f>
        <v>0</v>
      </c>
      <c r="S37" s="17">
        <f>ROUND(SUMIF(其他补发!B:B,$C37,其他补发!I:I),2)</f>
        <v>0</v>
      </c>
      <c r="T37" s="17">
        <f>ROUND(SUMIF(其他补发!B:B,$C37,其他补发!E:E),2)</f>
        <v>0</v>
      </c>
      <c r="U37" s="17">
        <f>ROUND((VLOOKUP(C37,考勤!C:H,6,0)+VLOOKUP(C37,考勤!C:O,13,0)+VLOOKUP(C37,考勤!C:P,14,0)*0.3+VLOOKUP(C37,考勤!C:AA,25,0))*(P37+Q37+R37)/21.75,2)+ROUND((VLOOKUP(C37,考勤!C:V,19,0)+VLOOKUP(C37,考勤!C:V,20,0))*(P37+Q37+R37-2520)/21.75,2)</f>
        <v>0</v>
      </c>
      <c r="V37" s="17">
        <f>ROUND(SUMIF(动态表!C:C,C37,动态表!AA:AA)+SUMIFS(其他补发!L:L,其他补发!B:B,C37),2)</f>
        <v>0</v>
      </c>
      <c r="W37" s="17">
        <f>ROUND(VLOOKUP(C37,考勤!C:K,9,0)*P37/21.75/8*2+VLOOKUP(C37,考勤!C:L,10,0)*P37/21.75/8*3,2)+SUMIFS(加班费!$H:$H,加班费!$D:$D,$C37)</f>
        <v>0</v>
      </c>
      <c r="X37" s="17">
        <f>SUMIF(奖金!D:D,C37,奖金!F:F)</f>
        <v>0</v>
      </c>
      <c r="Y37" s="17">
        <f>SUMIF(其他补发!B:B,C37,其他补发!J:J)</f>
        <v>0</v>
      </c>
      <c r="Z37" s="17">
        <f>SUMIF(其他补发!B:B,C37,其他补发!F:F)</f>
        <v>0</v>
      </c>
      <c r="AA37" s="17">
        <f>SUMIF(其他补发!B:B,C37,其他补发!G:G)</f>
        <v>0</v>
      </c>
      <c r="AB37" s="17">
        <f>SUMIF(其他补发!B:B,C37,其他补发!M:M)</f>
        <v>0</v>
      </c>
      <c r="AC37" s="17">
        <f>SUMIF(其他补发!B:B,C37,其他补发!N:N)</f>
        <v>0</v>
      </c>
      <c r="AD37" s="17">
        <f>SUMIF(其他补发!B:B,C37,其他补发!K:K)</f>
        <v>0</v>
      </c>
      <c r="AE37" s="17">
        <f t="shared" si="0"/>
        <v>0</v>
      </c>
      <c r="AF37" s="17">
        <f t="shared" si="1"/>
        <v>21000</v>
      </c>
      <c r="AG37" s="17">
        <f>SUMIF(税后扣款!B:B,C37,税后扣款!E:E)</f>
        <v>0</v>
      </c>
      <c r="AH37" s="17">
        <f>SUMIF(房租水电!A:A,C37,房租水电!C:C)</f>
        <v>0</v>
      </c>
      <c r="AI37" s="17">
        <f>SUMIF(房租水电!A:A,C37,房租水电!D:D)</f>
        <v>0</v>
      </c>
      <c r="AJ37" s="17">
        <f>SUMIF(税后扣款!B:B,C37,税后扣款!D:D)</f>
        <v>0</v>
      </c>
      <c r="AK37" s="17">
        <f t="shared" si="2"/>
        <v>0</v>
      </c>
      <c r="AL37" s="17">
        <f>SUMIF(社会保险!D:D,N37,社会保险!I:I)</f>
        <v>1680</v>
      </c>
      <c r="AM37" s="17">
        <f>SUMIF(社会保险!D:D,N37,社会保险!J:J)</f>
        <v>420</v>
      </c>
      <c r="AN37" s="17">
        <f>SUMIF(社会保险!D:D,N37,社会保险!K:K)</f>
        <v>42</v>
      </c>
      <c r="AO37" s="17">
        <f>SUMIF(公积金!C:C,N37,公积金!L:L)</f>
        <v>1260</v>
      </c>
      <c r="AP37" s="17">
        <f>SUMIF(专项扣除!$B:$B,$C37,专项扣除!D:D)</f>
        <v>0</v>
      </c>
      <c r="AQ37" s="17">
        <f>SUMIF(专项扣除!$B:$B,$C37,专项扣除!E:E)</f>
        <v>0</v>
      </c>
      <c r="AR37" s="17">
        <f>SUMIF(专项扣除!$B:$B,$C37,专项扣除!F:F)</f>
        <v>0</v>
      </c>
      <c r="AS37" s="17">
        <f>SUMIF(专项扣除!$B:$B,$C37,专项扣除!G:G)</f>
        <v>0</v>
      </c>
      <c r="AT37" s="17">
        <f>SUMIF(专项扣除!$B:$B,$C37,专项扣除!H:H)</f>
        <v>0</v>
      </c>
      <c r="AU37" s="17">
        <f>SUMIF(专项扣除!$B:$B,$C37,专项扣除!I:I)</f>
        <v>0</v>
      </c>
      <c r="AV37" s="17">
        <f>SUMIF(专项扣除!$B:$B,$C37,专项扣除!J:J)</f>
        <v>0</v>
      </c>
      <c r="AW37" s="17">
        <v>5000</v>
      </c>
      <c r="AX37" s="17">
        <f t="shared" si="3"/>
        <v>8402</v>
      </c>
      <c r="AY37" s="17">
        <f>SUMIF(上月累计工资累计社保和公积金!C:C,C37,上月累计工资累计社保和公积金!E:E)</f>
        <v>142610.86</v>
      </c>
      <c r="AZ37" s="17">
        <f t="shared" si="4"/>
        <v>163610.86</v>
      </c>
      <c r="BA37" s="17">
        <f>SUMIF(上月累计工资累计社保和公积金!C:C,C37,上月累计工资累计社保和公积金!K:K)</f>
        <v>58814</v>
      </c>
      <c r="BB37" s="17">
        <f t="shared" si="5"/>
        <v>67216</v>
      </c>
      <c r="BC37" s="17">
        <f>ROUND(MAX((AZ37-BB37-AP37-AQ37-AR37-AS37-AT37-AU37-AV37)*0.01*{3,10,20,25,30,35,45}-{0,2520,16920,31920,52920,85920,181920},0),2)</f>
        <v>7119.49</v>
      </c>
      <c r="BD37" s="17">
        <f>SUMIF(上月累计工资累计社保和公积金!C:C,C37,上月累计工资累计社保和公积金!L:L)</f>
        <v>5859.69</v>
      </c>
      <c r="BE37" s="17">
        <f t="shared" si="6"/>
        <v>1259.8</v>
      </c>
      <c r="BF37" s="17">
        <f t="shared" si="7"/>
        <v>16338.2</v>
      </c>
      <c r="BG37" s="231"/>
      <c r="BH37" s="232" t="str">
        <f>VLOOKUP(C37,考勤!C:AL,36,0)</f>
        <v>teddy@youdoogo.com</v>
      </c>
      <c r="BI37" s="233">
        <f t="shared" si="8"/>
        <v>0</v>
      </c>
      <c r="BJ37" s="236"/>
      <c r="BK37" s="235"/>
      <c r="BL37" s="235"/>
      <c r="BM37" s="235"/>
      <c r="BN37" s="235"/>
    </row>
    <row r="38" s="202" customFormat="1" ht="15.75" customHeight="1" spans="1:66">
      <c r="A38" s="224">
        <f t="shared" si="9"/>
        <v>36</v>
      </c>
      <c r="B38" s="225" t="s">
        <v>101</v>
      </c>
      <c r="C38" s="226" t="s">
        <v>272</v>
      </c>
      <c r="D38" s="226" t="s">
        <v>273</v>
      </c>
      <c r="E38" s="226" t="s">
        <v>104</v>
      </c>
      <c r="F38" s="226" t="s">
        <v>101</v>
      </c>
      <c r="G38" s="227" t="s">
        <v>67</v>
      </c>
      <c r="H38" s="228">
        <v>46001</v>
      </c>
      <c r="I38" s="229"/>
      <c r="J38" s="230" t="s">
        <v>36</v>
      </c>
      <c r="K38" s="226" t="s">
        <v>274</v>
      </c>
      <c r="L38" s="227">
        <v>1</v>
      </c>
      <c r="M38" s="226" t="s">
        <v>36</v>
      </c>
      <c r="N38" s="226" t="s">
        <v>275</v>
      </c>
      <c r="O38" s="226" t="s">
        <v>276</v>
      </c>
      <c r="P38" s="17">
        <v>35000</v>
      </c>
      <c r="Q38" s="17">
        <f>ROUND(SUMIF(其他补发!B:B,$C38,其他补发!D:D),2)</f>
        <v>0</v>
      </c>
      <c r="R38" s="17">
        <f>ROUND(SUMIF(其他补发!B:B,$C38,其他补发!H:H),2)</f>
        <v>0</v>
      </c>
      <c r="S38" s="17">
        <f>ROUND(SUMIF(其他补发!B:B,$C38,其他补发!I:I),2)</f>
        <v>0</v>
      </c>
      <c r="T38" s="17">
        <f>ROUND(SUMIF(其他补发!B:B,$C38,其他补发!E:E),2)</f>
        <v>0</v>
      </c>
      <c r="U38" s="17">
        <f>ROUND((VLOOKUP(C38,考勤!C:H,6,0)+VLOOKUP(C38,考勤!C:O,13,0)+VLOOKUP(C38,考勤!C:P,14,0)*0.3+VLOOKUP(C38,考勤!C:AA,25,0))*(P38+Q38+R38)/21.75,2)+ROUND((VLOOKUP(C38,考勤!C:V,19,0)+VLOOKUP(C38,考勤!C:V,20,0))*(P38+Q38+R38-2520)/21.75,2)</f>
        <v>0</v>
      </c>
      <c r="V38" s="17">
        <f>ROUND(SUMIF(动态表!C:C,C38,动态表!AA:AA)+SUMIFS(其他补发!L:L,其他补发!B:B,C38),2)</f>
        <v>0</v>
      </c>
      <c r="W38" s="17">
        <f>ROUND(VLOOKUP(C38,考勤!C:K,9,0)*P38/21.75/8*2+VLOOKUP(C38,考勤!C:L,10,0)*P38/21.75/8*3,2)+SUMIFS(加班费!$H:$H,加班费!$D:$D,$C38)</f>
        <v>0</v>
      </c>
      <c r="X38" s="17">
        <f>SUMIF(奖金!D:D,C38,奖金!F:F)</f>
        <v>0</v>
      </c>
      <c r="Y38" s="17">
        <f>SUMIF(其他补发!B:B,C38,其他补发!J:J)</f>
        <v>0</v>
      </c>
      <c r="Z38" s="17">
        <f>SUMIF(其他补发!B:B,C38,其他补发!F:F)</f>
        <v>0</v>
      </c>
      <c r="AA38" s="17">
        <f>SUMIF(其他补发!B:B,C38,其他补发!G:G)</f>
        <v>0</v>
      </c>
      <c r="AB38" s="17">
        <f>SUMIF(其他补发!B:B,C38,其他补发!M:M)</f>
        <v>0</v>
      </c>
      <c r="AC38" s="17">
        <f>SUMIF(其他补发!B:B,C38,其他补发!N:N)</f>
        <v>0</v>
      </c>
      <c r="AD38" s="17">
        <f>SUMIF(其他补发!B:B,C38,其他补发!K:K)</f>
        <v>0</v>
      </c>
      <c r="AE38" s="17">
        <f t="shared" si="0"/>
        <v>0</v>
      </c>
      <c r="AF38" s="17">
        <f t="shared" si="1"/>
        <v>35000</v>
      </c>
      <c r="AG38" s="17">
        <f>SUMIF(税后扣款!B:B,C38,税后扣款!E:E)</f>
        <v>0</v>
      </c>
      <c r="AH38" s="17">
        <f>SUMIF(房租水电!A:A,C38,房租水电!C:C)</f>
        <v>0</v>
      </c>
      <c r="AI38" s="17">
        <f>SUMIF(房租水电!A:A,C38,房租水电!D:D)</f>
        <v>0</v>
      </c>
      <c r="AJ38" s="17">
        <f>SUMIF(税后扣款!B:B,C38,税后扣款!D:D)</f>
        <v>0</v>
      </c>
      <c r="AK38" s="17">
        <f t="shared" si="2"/>
        <v>0</v>
      </c>
      <c r="AL38" s="17">
        <f>SUMIF(社会保险!D:D,N38,社会保险!I:I)</f>
        <v>2203.92</v>
      </c>
      <c r="AM38" s="17">
        <f>SUMIF(社会保险!D:D,N38,社会保险!J:J)</f>
        <v>672.66</v>
      </c>
      <c r="AN38" s="17">
        <f>SUMIF(社会保险!D:D,N38,社会保险!K:K)</f>
        <v>70</v>
      </c>
      <c r="AO38" s="17">
        <f>SUMIF(公积金!C:C,N38,公积金!L:L)</f>
        <v>2100</v>
      </c>
      <c r="AP38" s="17">
        <f>SUMIF(专项扣除!$B:$B,$C38,专项扣除!D:D)</f>
        <v>0</v>
      </c>
      <c r="AQ38" s="17">
        <f>SUMIF(专项扣除!$B:$B,$C38,专项扣除!E:E)</f>
        <v>0</v>
      </c>
      <c r="AR38" s="17">
        <f>SUMIF(专项扣除!$B:$B,$C38,专项扣除!F:F)</f>
        <v>0</v>
      </c>
      <c r="AS38" s="17">
        <f>SUMIF(专项扣除!$B:$B,$C38,专项扣除!G:G)</f>
        <v>0</v>
      </c>
      <c r="AT38" s="17">
        <f>SUMIF(专项扣除!$B:$B,$C38,专项扣除!H:H)</f>
        <v>0</v>
      </c>
      <c r="AU38" s="17">
        <f>SUMIF(专项扣除!$B:$B,$C38,专项扣除!I:I)</f>
        <v>0</v>
      </c>
      <c r="AV38" s="17">
        <f>SUMIF(专项扣除!$B:$B,$C38,专项扣除!J:J)</f>
        <v>0</v>
      </c>
      <c r="AW38" s="17">
        <v>5000</v>
      </c>
      <c r="AX38" s="17">
        <f t="shared" si="3"/>
        <v>10046.58</v>
      </c>
      <c r="AY38" s="17">
        <f>SUMIF(上月累计工资累计社保和公积金!C:C,C38,上月累计工资累计社保和公积金!E:E)</f>
        <v>234035.63</v>
      </c>
      <c r="AZ38" s="17">
        <f t="shared" si="4"/>
        <v>269035.63</v>
      </c>
      <c r="BA38" s="17">
        <f>SUMIF(上月累计工资累计社保和公积金!C:C,C38,上月累计工资累计社保和公积金!K:K)</f>
        <v>70326.72</v>
      </c>
      <c r="BB38" s="17">
        <f t="shared" si="5"/>
        <v>80373.3</v>
      </c>
      <c r="BC38" s="17">
        <f>ROUND(MAX((AZ38-BB38-AP38-AQ38-AR38-AS38-AT38-AU38-AV38)*0.01*{3,10,20,25,30,35,45}-{0,2520,16920,31920,52920,85920,181920},0),2)</f>
        <v>20812.47</v>
      </c>
      <c r="BD38" s="17">
        <f>SUMIF(上月累计工资累计社保和公积金!C:C,C38,上月累计工资累计社保和公积金!L:L)</f>
        <v>15821.78</v>
      </c>
      <c r="BE38" s="17">
        <f t="shared" si="6"/>
        <v>4990.69</v>
      </c>
      <c r="BF38" s="17">
        <f t="shared" si="7"/>
        <v>24962.73</v>
      </c>
      <c r="BG38" s="231"/>
      <c r="BH38" s="232" t="str">
        <f>VLOOKUP(C38,考勤!C:AL,36,0)</f>
        <v>beyounghe@youdoogo.com</v>
      </c>
      <c r="BI38" s="233">
        <f t="shared" si="8"/>
        <v>0</v>
      </c>
      <c r="BJ38" s="236"/>
      <c r="BK38" s="235"/>
      <c r="BL38" s="235"/>
      <c r="BM38" s="235"/>
      <c r="BN38" s="235"/>
    </row>
    <row r="39" s="202" customFormat="1" ht="15.75" customHeight="1" spans="1:66">
      <c r="A39" s="224">
        <f t="shared" si="9"/>
        <v>37</v>
      </c>
      <c r="B39" s="225" t="s">
        <v>101</v>
      </c>
      <c r="C39" s="226" t="s">
        <v>277</v>
      </c>
      <c r="D39" s="226" t="s">
        <v>278</v>
      </c>
      <c r="E39" s="226" t="s">
        <v>104</v>
      </c>
      <c r="F39" s="226" t="s">
        <v>101</v>
      </c>
      <c r="G39" s="227" t="s">
        <v>65</v>
      </c>
      <c r="H39" s="228">
        <v>46001</v>
      </c>
      <c r="I39" s="229"/>
      <c r="J39" s="230" t="s">
        <v>36</v>
      </c>
      <c r="K39" s="226" t="s">
        <v>279</v>
      </c>
      <c r="L39" s="227">
        <v>1</v>
      </c>
      <c r="M39" s="226" t="s">
        <v>36</v>
      </c>
      <c r="N39" s="226" t="s">
        <v>280</v>
      </c>
      <c r="O39" s="226" t="s">
        <v>281</v>
      </c>
      <c r="P39" s="17">
        <v>26500</v>
      </c>
      <c r="Q39" s="17">
        <f>ROUND(SUMIF(其他补发!B:B,$C39,其他补发!D:D),2)</f>
        <v>0</v>
      </c>
      <c r="R39" s="17">
        <f>ROUND(SUMIF(其他补发!B:B,$C39,其他补发!H:H),2)</f>
        <v>0</v>
      </c>
      <c r="S39" s="17">
        <f>ROUND(SUMIF(其他补发!B:B,$C39,其他补发!I:I),2)</f>
        <v>0</v>
      </c>
      <c r="T39" s="17">
        <f>ROUND(SUMIF(其他补发!B:B,$C39,其他补发!E:E),2)</f>
        <v>0</v>
      </c>
      <c r="U39" s="17">
        <f>ROUND((VLOOKUP(C39,考勤!C:H,6,0)+VLOOKUP(C39,考勤!C:O,13,0)+VLOOKUP(C39,考勤!C:P,14,0)*0.3+VLOOKUP(C39,考勤!C:AA,25,0))*(P39+Q39+R39)/21.75,2)+ROUND((VLOOKUP(C39,考勤!C:V,19,0)+VLOOKUP(C39,考勤!C:V,20,0))*(P39+Q39+R39-2520)/21.75,2)</f>
        <v>0</v>
      </c>
      <c r="V39" s="17">
        <f>ROUND(SUMIF(动态表!C:C,C39,动态表!AA:AA)+SUMIFS(其他补发!L:L,其他补发!B:B,C39),2)</f>
        <v>0</v>
      </c>
      <c r="W39" s="17">
        <f>ROUND(VLOOKUP(C39,考勤!C:K,9,0)*P39/21.75/8*2+VLOOKUP(C39,考勤!C:L,10,0)*P39/21.75/8*3,2)+SUMIFS(加班费!$H:$H,加班费!$D:$D,$C39)</f>
        <v>0</v>
      </c>
      <c r="X39" s="17">
        <f>SUMIF(奖金!D:D,C39,奖金!F:F)</f>
        <v>0</v>
      </c>
      <c r="Y39" s="17">
        <f>SUMIF(其他补发!B:B,C39,其他补发!J:J)</f>
        <v>0</v>
      </c>
      <c r="Z39" s="17">
        <f>SUMIF(其他补发!B:B,C39,其他补发!F:F)</f>
        <v>0</v>
      </c>
      <c r="AA39" s="17">
        <f>SUMIF(其他补发!B:B,C39,其他补发!G:G)</f>
        <v>0</v>
      </c>
      <c r="AB39" s="17">
        <f>SUMIF(其他补发!B:B,C39,其他补发!M:M)</f>
        <v>0</v>
      </c>
      <c r="AC39" s="17">
        <f>SUMIF(其他补发!B:B,C39,其他补发!N:N)</f>
        <v>0</v>
      </c>
      <c r="AD39" s="17">
        <f>SUMIF(其他补发!B:B,C39,其他补发!K:K)</f>
        <v>0</v>
      </c>
      <c r="AE39" s="17">
        <f t="shared" si="0"/>
        <v>0</v>
      </c>
      <c r="AF39" s="17">
        <f t="shared" si="1"/>
        <v>26500</v>
      </c>
      <c r="AG39" s="17">
        <f>SUMIF(税后扣款!B:B,C39,税后扣款!E:E)</f>
        <v>0</v>
      </c>
      <c r="AH39" s="17">
        <f>SUMIF(房租水电!A:A,C39,房租水电!C:C)</f>
        <v>0</v>
      </c>
      <c r="AI39" s="17">
        <f>SUMIF(房租水电!A:A,C39,房租水电!D:D)</f>
        <v>0</v>
      </c>
      <c r="AJ39" s="17">
        <f>SUMIF(税后扣款!B:B,C39,税后扣款!D:D)</f>
        <v>-160</v>
      </c>
      <c r="AK39" s="17">
        <f t="shared" si="2"/>
        <v>-160</v>
      </c>
      <c r="AL39" s="17">
        <f>SUMIF(社会保险!D:D,N39,社会保险!I:I)</f>
        <v>2120</v>
      </c>
      <c r="AM39" s="17">
        <f>SUMIF(社会保险!D:D,N39,社会保险!J:J)</f>
        <v>530</v>
      </c>
      <c r="AN39" s="17">
        <f>SUMIF(社会保险!D:D,N39,社会保险!K:K)</f>
        <v>53</v>
      </c>
      <c r="AO39" s="17">
        <f>SUMIF(公积金!C:C,N39,公积金!L:L)</f>
        <v>3180</v>
      </c>
      <c r="AP39" s="17">
        <f>SUMIF(专项扣除!$B:$B,$C39,专项扣除!D:D)</f>
        <v>0</v>
      </c>
      <c r="AQ39" s="17">
        <f>SUMIF(专项扣除!$B:$B,$C39,专项扣除!E:E)</f>
        <v>0</v>
      </c>
      <c r="AR39" s="17">
        <f>SUMIF(专项扣除!$B:$B,$C39,专项扣除!F:F)</f>
        <v>0</v>
      </c>
      <c r="AS39" s="17">
        <f>SUMIF(专项扣除!$B:$B,$C39,专项扣除!G:G)</f>
        <v>0</v>
      </c>
      <c r="AT39" s="17">
        <f>SUMIF(专项扣除!$B:$B,$C39,专项扣除!H:H)</f>
        <v>0</v>
      </c>
      <c r="AU39" s="17">
        <f>SUMIF(专项扣除!$B:$B,$C39,专项扣除!I:I)</f>
        <v>0</v>
      </c>
      <c r="AV39" s="17">
        <f>SUMIF(专项扣除!$B:$B,$C39,专项扣除!J:J)</f>
        <v>0</v>
      </c>
      <c r="AW39" s="17">
        <v>5000</v>
      </c>
      <c r="AX39" s="17">
        <f t="shared" si="3"/>
        <v>10883</v>
      </c>
      <c r="AY39" s="17">
        <f>SUMIF(上月累计工资累计社保和公积金!C:C,C39,上月累计工资累计社保和公积金!E:E)</f>
        <v>177471.26</v>
      </c>
      <c r="AZ39" s="17">
        <f t="shared" si="4"/>
        <v>203971.26</v>
      </c>
      <c r="BA39" s="17">
        <f>SUMIF(上月累计工资累计社保和公积金!C:C,C39,上月累计工资累计社保和公积金!K:K)</f>
        <v>65051</v>
      </c>
      <c r="BB39" s="17">
        <f t="shared" si="5"/>
        <v>75934</v>
      </c>
      <c r="BC39" s="17">
        <f>ROUND(MAX((AZ39-BB39-AP39-AQ39-AR39-AS39-AT39-AU39-AV39)*0.01*{3,10,20,25,30,35,45}-{0,2520,16920,31920,52920,85920,181920},0),2)</f>
        <v>10283.73</v>
      </c>
      <c r="BD39" s="17">
        <f>SUMIF(上月累计工资累计社保和公积金!C:C,C39,上月累计工资累计社保和公积金!L:L)</f>
        <v>8722.03</v>
      </c>
      <c r="BE39" s="17">
        <f t="shared" si="6"/>
        <v>1561.7</v>
      </c>
      <c r="BF39" s="17">
        <f t="shared" si="7"/>
        <v>19215.3</v>
      </c>
      <c r="BG39" s="231"/>
      <c r="BH39" s="232" t="str">
        <f>VLOOKUP(C39,考勤!C:AL,36,0)</f>
        <v>damon@youdoogo.com</v>
      </c>
      <c r="BI39" s="233">
        <f t="shared" si="8"/>
        <v>0</v>
      </c>
      <c r="BJ39" s="236"/>
      <c r="BK39" s="235"/>
      <c r="BL39" s="235"/>
      <c r="BM39" s="235"/>
      <c r="BN39" s="235"/>
    </row>
    <row r="40" s="202" customFormat="1" ht="15.75" customHeight="1" spans="1:66">
      <c r="A40" s="224">
        <f t="shared" si="9"/>
        <v>38</v>
      </c>
      <c r="B40" s="225" t="s">
        <v>101</v>
      </c>
      <c r="C40" s="226" t="s">
        <v>282</v>
      </c>
      <c r="D40" s="226" t="s">
        <v>283</v>
      </c>
      <c r="E40" s="226" t="s">
        <v>104</v>
      </c>
      <c r="F40" s="226" t="s">
        <v>101</v>
      </c>
      <c r="G40" s="227" t="s">
        <v>69</v>
      </c>
      <c r="H40" s="228">
        <v>46003</v>
      </c>
      <c r="I40" s="229"/>
      <c r="J40" s="230" t="s">
        <v>36</v>
      </c>
      <c r="K40" s="226" t="s">
        <v>284</v>
      </c>
      <c r="L40" s="227">
        <v>1</v>
      </c>
      <c r="M40" s="226" t="s">
        <v>36</v>
      </c>
      <c r="N40" s="226" t="s">
        <v>285</v>
      </c>
      <c r="O40" s="226" t="s">
        <v>286</v>
      </c>
      <c r="P40" s="17">
        <v>16000</v>
      </c>
      <c r="Q40" s="17">
        <f>ROUND(SUMIF(其他补发!B:B,$C40,其他补发!D:D),2)</f>
        <v>0</v>
      </c>
      <c r="R40" s="17">
        <f>ROUND(SUMIF(其他补发!B:B,$C40,其他补发!H:H),2)</f>
        <v>0</v>
      </c>
      <c r="S40" s="17">
        <f>ROUND(SUMIF(其他补发!B:B,$C40,其他补发!I:I),2)</f>
        <v>0</v>
      </c>
      <c r="T40" s="17">
        <f>ROUND(SUMIF(其他补发!B:B,$C40,其他补发!E:E),2)</f>
        <v>0</v>
      </c>
      <c r="U40" s="17">
        <f>ROUND((VLOOKUP(C40,考勤!C:H,6,0)+VLOOKUP(C40,考勤!C:O,13,0)+VLOOKUP(C40,考勤!C:P,14,0)*0.3+VLOOKUP(C40,考勤!C:AA,25,0))*(P40+Q40+R40)/21.75,2)+ROUND((VLOOKUP(C40,考勤!C:V,19,0)+VLOOKUP(C40,考勤!C:V,20,0))*(P40+Q40+R40-2520)/21.75,2)</f>
        <v>0</v>
      </c>
      <c r="V40" s="17">
        <f>ROUND(SUMIF(动态表!C:C,C40,动态表!AA:AA)+SUMIFS(其他补发!L:L,其他补发!B:B,C40),2)</f>
        <v>0</v>
      </c>
      <c r="W40" s="17">
        <f>ROUND(VLOOKUP(C40,考勤!C:K,9,0)*P40/21.75/8*2+VLOOKUP(C40,考勤!C:L,10,0)*P40/21.75/8*3,2)+SUMIFS(加班费!$H:$H,加班费!$D:$D,$C40)</f>
        <v>0</v>
      </c>
      <c r="X40" s="17">
        <f>SUMIF(奖金!D:D,C40,奖金!F:F)</f>
        <v>0</v>
      </c>
      <c r="Y40" s="17">
        <f>SUMIF(其他补发!B:B,C40,其他补发!J:J)</f>
        <v>0</v>
      </c>
      <c r="Z40" s="17">
        <f>SUMIF(其他补发!B:B,C40,其他补发!F:F)</f>
        <v>0</v>
      </c>
      <c r="AA40" s="17">
        <f>SUMIF(其他补发!B:B,C40,其他补发!G:G)</f>
        <v>0</v>
      </c>
      <c r="AB40" s="17">
        <f>SUMIF(其他补发!B:B,C40,其他补发!M:M)</f>
        <v>0</v>
      </c>
      <c r="AC40" s="17">
        <f>SUMIF(其他补发!B:B,C40,其他补发!N:N)</f>
        <v>0</v>
      </c>
      <c r="AD40" s="17">
        <f>SUMIF(其他补发!B:B,C40,其他补发!K:K)</f>
        <v>0</v>
      </c>
      <c r="AE40" s="17">
        <f t="shared" si="0"/>
        <v>0</v>
      </c>
      <c r="AF40" s="17">
        <f t="shared" si="1"/>
        <v>16000</v>
      </c>
      <c r="AG40" s="17">
        <f>SUMIF(税后扣款!B:B,C40,税后扣款!E:E)</f>
        <v>0</v>
      </c>
      <c r="AH40" s="17">
        <f>SUMIF(房租水电!A:A,C40,房租水电!C:C)</f>
        <v>0</v>
      </c>
      <c r="AI40" s="17">
        <f>SUMIF(房租水电!A:A,C40,房租水电!D:D)</f>
        <v>0</v>
      </c>
      <c r="AJ40" s="17">
        <f>SUMIF(税后扣款!B:B,C40,税后扣款!D:D)</f>
        <v>-160</v>
      </c>
      <c r="AK40" s="17">
        <f t="shared" si="2"/>
        <v>-160</v>
      </c>
      <c r="AL40" s="17">
        <f>SUMIF(社会保险!D:D,N40,社会保险!I:I)</f>
        <v>1280</v>
      </c>
      <c r="AM40" s="17">
        <f>SUMIF(社会保险!D:D,N40,社会保险!J:J)</f>
        <v>320</v>
      </c>
      <c r="AN40" s="17">
        <f>SUMIF(社会保险!D:D,N40,社会保险!K:K)</f>
        <v>32</v>
      </c>
      <c r="AO40" s="17">
        <f>SUMIF(公积金!C:C,N40,公积金!L:L)</f>
        <v>960</v>
      </c>
      <c r="AP40" s="17">
        <f>SUMIF(专项扣除!$B:$B,$C40,专项扣除!D:D)</f>
        <v>0</v>
      </c>
      <c r="AQ40" s="17">
        <f>SUMIF(专项扣除!$B:$B,$C40,专项扣除!E:E)</f>
        <v>0</v>
      </c>
      <c r="AR40" s="17">
        <f>SUMIF(专项扣除!$B:$B,$C40,专项扣除!F:F)</f>
        <v>0</v>
      </c>
      <c r="AS40" s="17">
        <f>SUMIF(专项扣除!$B:$B,$C40,专项扣除!G:G)</f>
        <v>0</v>
      </c>
      <c r="AT40" s="17">
        <f>SUMIF(专项扣除!$B:$B,$C40,专项扣除!H:H)</f>
        <v>0</v>
      </c>
      <c r="AU40" s="17">
        <f>SUMIF(专项扣除!$B:$B,$C40,专项扣除!I:I)</f>
        <v>0</v>
      </c>
      <c r="AV40" s="17">
        <f>SUMIF(专项扣除!$B:$B,$C40,专项扣除!J:J)</f>
        <v>0</v>
      </c>
      <c r="AW40" s="17">
        <v>5000</v>
      </c>
      <c r="AX40" s="17">
        <f t="shared" si="3"/>
        <v>7592</v>
      </c>
      <c r="AY40" s="17">
        <f>SUMIF(上月累计工资累计社保和公积金!C:C,C40,上月累计工资累计社保和公积金!E:E)</f>
        <v>105879.31</v>
      </c>
      <c r="AZ40" s="17">
        <f t="shared" si="4"/>
        <v>121879.31</v>
      </c>
      <c r="BA40" s="17">
        <f>SUMIF(上月累计工资累计社保和公积金!C:C,C40,上月累计工资累计社保和公积金!K:K)</f>
        <v>53144</v>
      </c>
      <c r="BB40" s="17">
        <f t="shared" si="5"/>
        <v>60736</v>
      </c>
      <c r="BC40" s="17">
        <f>ROUND(MAX((AZ40-BB40-AP40-AQ40-AR40-AS40-AT40-AU40-AV40)*0.01*{3,10,20,25,30,35,45}-{0,2520,16920,31920,52920,85920,181920},0),2)</f>
        <v>3594.33</v>
      </c>
      <c r="BD40" s="17">
        <f>SUMIF(上月累计工资累计社保和公积金!C:C,C40,上月累计工资累计社保和公积金!L:L)</f>
        <v>2753.53</v>
      </c>
      <c r="BE40" s="17">
        <f t="shared" si="6"/>
        <v>840.8</v>
      </c>
      <c r="BF40" s="17">
        <f t="shared" si="7"/>
        <v>12727.2</v>
      </c>
      <c r="BG40" s="231"/>
      <c r="BH40" s="232" t="str">
        <f>VLOOKUP(C40,考勤!C:AL,36,0)</f>
        <v>viola@youdoogo.com</v>
      </c>
      <c r="BI40" s="233">
        <f t="shared" si="8"/>
        <v>0</v>
      </c>
      <c r="BJ40" s="236"/>
      <c r="BK40" s="235"/>
      <c r="BL40" s="235"/>
      <c r="BM40" s="235"/>
      <c r="BN40" s="235"/>
    </row>
    <row r="41" s="202" customFormat="1" ht="15.75" customHeight="1" spans="1:66">
      <c r="A41" s="224">
        <f t="shared" si="9"/>
        <v>39</v>
      </c>
      <c r="B41" s="225" t="s">
        <v>101</v>
      </c>
      <c r="C41" s="226" t="s">
        <v>287</v>
      </c>
      <c r="D41" s="226" t="s">
        <v>288</v>
      </c>
      <c r="E41" s="226" t="s">
        <v>104</v>
      </c>
      <c r="F41" s="226" t="s">
        <v>101</v>
      </c>
      <c r="G41" s="227" t="s">
        <v>65</v>
      </c>
      <c r="H41" s="228">
        <v>46041</v>
      </c>
      <c r="I41" s="229"/>
      <c r="J41" s="230" t="s">
        <v>36</v>
      </c>
      <c r="K41" s="226" t="s">
        <v>289</v>
      </c>
      <c r="L41" s="227">
        <v>1</v>
      </c>
      <c r="M41" s="226" t="s">
        <v>36</v>
      </c>
      <c r="N41" s="226" t="s">
        <v>290</v>
      </c>
      <c r="O41" s="144" t="s">
        <v>291</v>
      </c>
      <c r="P41" s="17">
        <v>13000</v>
      </c>
      <c r="Q41" s="17">
        <f>ROUND(SUMIF(其他补发!B:B,$C41,其他补发!D:D),2)</f>
        <v>0</v>
      </c>
      <c r="R41" s="17">
        <f>ROUND(SUMIF(其他补发!B:B,$C41,其他补发!H:H),2)</f>
        <v>0</v>
      </c>
      <c r="S41" s="17">
        <f>ROUND(SUMIF(其他补发!B:B,$C41,其他补发!I:I),2)</f>
        <v>0</v>
      </c>
      <c r="T41" s="17">
        <f>ROUND(SUMIF(其他补发!B:B,$C41,其他补发!E:E),2)</f>
        <v>0</v>
      </c>
      <c r="U41" s="17">
        <f>ROUND((VLOOKUP(C41,考勤!C:H,6,0)+VLOOKUP(C41,考勤!C:O,13,0)+VLOOKUP(C41,考勤!C:P,14,0)*0.3+VLOOKUP(C41,考勤!C:AA,25,0))*(P41+Q41+R41)/21.75,2)+ROUND((VLOOKUP(C41,考勤!C:V,19,0)+VLOOKUP(C41,考勤!C:V,20,0))*(P41+Q41+R41-2520)/21.75,2)</f>
        <v>0</v>
      </c>
      <c r="V41" s="17">
        <f>ROUND(SUMIF(动态表!C:C,C41,动态表!AA:AA)+SUMIFS(其他补发!L:L,其他补发!B:B,C41),2)</f>
        <v>0</v>
      </c>
      <c r="W41" s="17">
        <f>ROUND(VLOOKUP(C41,考勤!C:K,9,0)*P41/21.75/8*2+VLOOKUP(C41,考勤!C:L,10,0)*P41/21.75/8*3,2)+SUMIFS(加班费!$H:$H,加班费!$D:$D,$C41)</f>
        <v>0</v>
      </c>
      <c r="X41" s="17">
        <f>SUMIF(奖金!D:D,C41,奖金!F:F)</f>
        <v>0</v>
      </c>
      <c r="Y41" s="17">
        <f>SUMIF(其他补发!B:B,C41,其他补发!J:J)</f>
        <v>0</v>
      </c>
      <c r="Z41" s="17">
        <f>SUMIF(其他补发!B:B,C41,其他补发!F:F)</f>
        <v>0</v>
      </c>
      <c r="AA41" s="17">
        <f>SUMIF(其他补发!B:B,C41,其他补发!G:G)</f>
        <v>0</v>
      </c>
      <c r="AB41" s="17">
        <f>SUMIF(其他补发!B:B,C41,其他补发!M:M)</f>
        <v>0</v>
      </c>
      <c r="AC41" s="17">
        <f>SUMIF(其他补发!B:B,C41,其他补发!N:N)</f>
        <v>0</v>
      </c>
      <c r="AD41" s="17">
        <f>SUMIF(其他补发!B:B,C41,其他补发!K:K)</f>
        <v>0</v>
      </c>
      <c r="AE41" s="17">
        <f t="shared" si="0"/>
        <v>0</v>
      </c>
      <c r="AF41" s="17">
        <f t="shared" si="1"/>
        <v>13000</v>
      </c>
      <c r="AG41" s="17">
        <f>SUMIF(税后扣款!B:B,C41,税后扣款!E:E)</f>
        <v>0</v>
      </c>
      <c r="AH41" s="17">
        <f>SUMIF(房租水电!A:A,C41,房租水电!C:C)</f>
        <v>0</v>
      </c>
      <c r="AI41" s="17">
        <f>SUMIF(房租水电!A:A,C41,房租水电!D:D)</f>
        <v>0</v>
      </c>
      <c r="AJ41" s="17">
        <f>SUMIF(税后扣款!B:B,C41,税后扣款!D:D)</f>
        <v>-160</v>
      </c>
      <c r="AK41" s="17">
        <f t="shared" si="2"/>
        <v>-160</v>
      </c>
      <c r="AL41" s="17">
        <f>SUMIF(社会保险!D:D,N41,社会保险!I:I)</f>
        <v>1040</v>
      </c>
      <c r="AM41" s="17">
        <f>SUMIF(社会保险!D:D,N41,社会保险!J:J)</f>
        <v>260</v>
      </c>
      <c r="AN41" s="17">
        <f>SUMIF(社会保险!D:D,N41,社会保险!K:K)</f>
        <v>26</v>
      </c>
      <c r="AO41" s="17">
        <f>SUMIF(公积金!C:C,N41,公积金!L:L)</f>
        <v>780</v>
      </c>
      <c r="AP41" s="17">
        <f>SUMIF(专项扣除!$B:$B,$C41,专项扣除!D:D)</f>
        <v>0</v>
      </c>
      <c r="AQ41" s="17">
        <f>SUMIF(专项扣除!$B:$B,$C41,专项扣除!E:E)</f>
        <v>0</v>
      </c>
      <c r="AR41" s="17">
        <f>SUMIF(专项扣除!$B:$B,$C41,专项扣除!F:F)</f>
        <v>0</v>
      </c>
      <c r="AS41" s="17">
        <f>SUMIF(专项扣除!$B:$B,$C41,专项扣除!G:G)</f>
        <v>0</v>
      </c>
      <c r="AT41" s="17">
        <f>SUMIF(专项扣除!$B:$B,$C41,专项扣除!H:H)</f>
        <v>0</v>
      </c>
      <c r="AU41" s="17">
        <f>SUMIF(专项扣除!$B:$B,$C41,专项扣除!I:I)</f>
        <v>0</v>
      </c>
      <c r="AV41" s="17">
        <f>SUMIF(专项扣除!$B:$B,$C41,专项扣除!J:J)</f>
        <v>0</v>
      </c>
      <c r="AW41" s="17">
        <v>5000</v>
      </c>
      <c r="AX41" s="17">
        <f t="shared" si="3"/>
        <v>7106</v>
      </c>
      <c r="AY41" s="17">
        <f>SUMIF(上月累计工资累计社保和公积金!C:C,C41,上月累计工资累计社保和公积金!E:E)</f>
        <v>71477.01</v>
      </c>
      <c r="AZ41" s="17">
        <f t="shared" si="4"/>
        <v>84477.01</v>
      </c>
      <c r="BA41" s="17">
        <f>SUMIF(上月累计工资累计社保和公积金!C:C,C41,上月累计工资累计社保和公积金!K:K)</f>
        <v>40530</v>
      </c>
      <c r="BB41" s="17">
        <f t="shared" si="5"/>
        <v>47636</v>
      </c>
      <c r="BC41" s="17">
        <f>ROUND(MAX((AZ41-BB41-AP41-AQ41-AR41-AS41-AT41-AU41-AV41)*0.01*{3,10,20,25,30,35,45}-{0,2520,16920,31920,52920,85920,181920},0),2)</f>
        <v>1164.1</v>
      </c>
      <c r="BD41" s="17">
        <f>SUMIF(上月累计工资累计社保和公积金!C:C,C41,上月累计工资累计社保和公积金!L:L)</f>
        <v>928.41</v>
      </c>
      <c r="BE41" s="17">
        <f t="shared" si="6"/>
        <v>235.69</v>
      </c>
      <c r="BF41" s="17">
        <f t="shared" si="7"/>
        <v>10818.31</v>
      </c>
      <c r="BG41" s="231"/>
      <c r="BH41" s="232" t="str">
        <f>VLOOKUP(C41,考勤!C:AL,36,0)</f>
        <v>aziraphale@youdoogo.com</v>
      </c>
      <c r="BI41" s="233">
        <f t="shared" si="8"/>
        <v>0</v>
      </c>
      <c r="BJ41" s="236"/>
      <c r="BK41" s="235"/>
      <c r="BL41" s="235"/>
      <c r="BM41" s="235"/>
      <c r="BN41" s="235"/>
    </row>
    <row r="42" s="202" customFormat="1" ht="15.75" customHeight="1" spans="1:66">
      <c r="A42" s="224">
        <f t="shared" si="9"/>
        <v>40</v>
      </c>
      <c r="B42" s="225" t="s">
        <v>101</v>
      </c>
      <c r="C42" s="226" t="s">
        <v>292</v>
      </c>
      <c r="D42" s="226" t="s">
        <v>293</v>
      </c>
      <c r="E42" s="226" t="s">
        <v>104</v>
      </c>
      <c r="F42" s="226" t="s">
        <v>101</v>
      </c>
      <c r="G42" s="227" t="s">
        <v>65</v>
      </c>
      <c r="H42" s="228">
        <v>46048</v>
      </c>
      <c r="I42" s="229"/>
      <c r="J42" s="230" t="s">
        <v>36</v>
      </c>
      <c r="K42" s="226" t="s">
        <v>225</v>
      </c>
      <c r="L42" s="227">
        <v>1</v>
      </c>
      <c r="M42" s="226" t="s">
        <v>36</v>
      </c>
      <c r="N42" s="226" t="s">
        <v>294</v>
      </c>
      <c r="O42" s="226" t="s">
        <v>295</v>
      </c>
      <c r="P42" s="17">
        <v>8000</v>
      </c>
      <c r="Q42" s="17">
        <f>ROUND(SUMIF(其他补发!B:B,$C42,其他补发!D:D),2)</f>
        <v>0</v>
      </c>
      <c r="R42" s="17">
        <f>ROUND(SUMIF(其他补发!B:B,$C42,其他补发!H:H),2)</f>
        <v>0</v>
      </c>
      <c r="S42" s="17">
        <f>ROUND(SUMIF(其他补发!B:B,$C42,其他补发!I:I),2)</f>
        <v>0</v>
      </c>
      <c r="T42" s="17">
        <f>ROUND(SUMIF(其他补发!B:B,$C42,其他补发!E:E),2)</f>
        <v>0</v>
      </c>
      <c r="U42" s="17">
        <f>ROUND((VLOOKUP(C42,考勤!C:H,6,0)+VLOOKUP(C42,考勤!C:O,13,0)+VLOOKUP(C42,考勤!C:P,14,0)*0.3+VLOOKUP(C42,考勤!C:AA,25,0))*(P42+Q42+R42)/21.75,2)+ROUND((VLOOKUP(C42,考勤!C:V,19,0)+VLOOKUP(C42,考勤!C:V,20,0))*(P42+Q42+R42-2520)/21.75,2)</f>
        <v>0</v>
      </c>
      <c r="V42" s="17">
        <f>ROUND(SUMIF(动态表!C:C,C42,动态表!AA:AA)+SUMIFS(其他补发!L:L,其他补发!B:B,C42),2)</f>
        <v>0</v>
      </c>
      <c r="W42" s="17">
        <f>ROUND(VLOOKUP(C42,考勤!C:K,9,0)*P42/21.75/8*2+VLOOKUP(C42,考勤!C:L,10,0)*P42/21.75/8*3,2)+SUMIFS(加班费!$H:$H,加班费!$D:$D,$C42)</f>
        <v>0</v>
      </c>
      <c r="X42" s="17">
        <f>SUMIF(奖金!D:D,C42,奖金!F:F)</f>
        <v>0</v>
      </c>
      <c r="Y42" s="17">
        <f>SUMIF(其他补发!B:B,C42,其他补发!J:J)</f>
        <v>0</v>
      </c>
      <c r="Z42" s="17">
        <f>SUMIF(其他补发!B:B,C42,其他补发!F:F)</f>
        <v>0</v>
      </c>
      <c r="AA42" s="17">
        <f>SUMIF(其他补发!B:B,C42,其他补发!G:G)</f>
        <v>0</v>
      </c>
      <c r="AB42" s="17">
        <f>SUMIF(其他补发!B:B,C42,其他补发!M:M)</f>
        <v>0</v>
      </c>
      <c r="AC42" s="17">
        <f>SUMIF(其他补发!B:B,C42,其他补发!N:N)</f>
        <v>0</v>
      </c>
      <c r="AD42" s="17">
        <f>SUMIF(其他补发!B:B,C42,其他补发!K:K)</f>
        <v>0</v>
      </c>
      <c r="AE42" s="17">
        <f t="shared" si="0"/>
        <v>0</v>
      </c>
      <c r="AF42" s="17">
        <f t="shared" si="1"/>
        <v>8000</v>
      </c>
      <c r="AG42" s="17">
        <f>SUMIF(税后扣款!B:B,C42,税后扣款!E:E)</f>
        <v>0</v>
      </c>
      <c r="AH42" s="17">
        <f>SUMIF(房租水电!A:A,C42,房租水电!C:C)</f>
        <v>0</v>
      </c>
      <c r="AI42" s="17">
        <f>SUMIF(房租水电!A:A,C42,房租水电!D:D)</f>
        <v>0</v>
      </c>
      <c r="AJ42" s="17">
        <f>SUMIF(税后扣款!B:B,C42,税后扣款!D:D)</f>
        <v>-160</v>
      </c>
      <c r="AK42" s="17">
        <f t="shared" si="2"/>
        <v>-160</v>
      </c>
      <c r="AL42" s="17">
        <f>SUMIF(社会保险!D:D,N42,社会保险!I:I)</f>
        <v>640</v>
      </c>
      <c r="AM42" s="17">
        <f>SUMIF(社会保险!D:D,N42,社会保险!J:J)</f>
        <v>160</v>
      </c>
      <c r="AN42" s="17">
        <f>SUMIF(社会保险!D:D,N42,社会保险!K:K)</f>
        <v>16</v>
      </c>
      <c r="AO42" s="17">
        <f>SUMIF(公积金!C:C,N42,公积金!L:L)</f>
        <v>480</v>
      </c>
      <c r="AP42" s="17">
        <f>SUMIF(专项扣除!$B:$B,$C42,专项扣除!D:D)</f>
        <v>0</v>
      </c>
      <c r="AQ42" s="17">
        <f>SUMIF(专项扣除!$B:$B,$C42,专项扣除!E:E)</f>
        <v>0</v>
      </c>
      <c r="AR42" s="17">
        <f>SUMIF(专项扣除!$B:$B,$C42,专项扣除!F:F)</f>
        <v>0</v>
      </c>
      <c r="AS42" s="17">
        <f>SUMIF(专项扣除!$B:$B,$C42,专项扣除!G:G)</f>
        <v>0</v>
      </c>
      <c r="AT42" s="17">
        <f>SUMIF(专项扣除!$B:$B,$C42,专项扣除!H:H)</f>
        <v>0</v>
      </c>
      <c r="AU42" s="17">
        <f>SUMIF(专项扣除!$B:$B,$C42,专项扣除!I:I)</f>
        <v>0</v>
      </c>
      <c r="AV42" s="17">
        <f>SUMIF(专项扣除!$B:$B,$C42,专项扣除!J:J)</f>
        <v>0</v>
      </c>
      <c r="AW42" s="17">
        <v>5000</v>
      </c>
      <c r="AX42" s="17">
        <f t="shared" si="3"/>
        <v>6296</v>
      </c>
      <c r="AY42" s="17">
        <f>SUMIF(上月累计工资累计社保和公积金!C:C,C42,上月累计工资累计社保和公积金!E:E)</f>
        <v>42339.08</v>
      </c>
      <c r="AZ42" s="17">
        <f t="shared" si="4"/>
        <v>50339.08</v>
      </c>
      <c r="BA42" s="17">
        <f>SUMIF(上月累计工资累计社保和公积金!C:C,C42,上月累计工资累计社保和公积金!K:K)</f>
        <v>36480</v>
      </c>
      <c r="BB42" s="17">
        <f t="shared" si="5"/>
        <v>42776</v>
      </c>
      <c r="BC42" s="17">
        <f>ROUND(MAX((AZ42-BB42-AP42-AQ42-AR42-AS42-AT42-AU42-AV42)*0.01*{3,10,20,25,30,35,45}-{0,2520,16920,31920,52920,85920,181920},0),2)</f>
        <v>226.89</v>
      </c>
      <c r="BD42" s="17">
        <f>SUMIF(上月累计工资累计社保和公积金!C:C,C42,上月累计工资累计社保和公积金!L:L)</f>
        <v>175.77</v>
      </c>
      <c r="BE42" s="17">
        <f t="shared" si="6"/>
        <v>51.12</v>
      </c>
      <c r="BF42" s="17">
        <f t="shared" si="7"/>
        <v>6812.88</v>
      </c>
      <c r="BG42" s="231"/>
      <c r="BH42" s="232" t="str">
        <f>VLOOKUP(C42,考勤!C:AL,36,0)</f>
        <v>claire@youdoogo.com</v>
      </c>
      <c r="BI42" s="233">
        <f t="shared" si="8"/>
        <v>0</v>
      </c>
      <c r="BJ42" s="236"/>
      <c r="BK42" s="235"/>
      <c r="BL42" s="235"/>
      <c r="BM42" s="235"/>
      <c r="BN42" s="235"/>
    </row>
    <row r="43" s="202" customFormat="1" ht="15.75" customHeight="1" spans="1:66">
      <c r="A43" s="224">
        <f t="shared" si="9"/>
        <v>41</v>
      </c>
      <c r="B43" s="225" t="s">
        <v>101</v>
      </c>
      <c r="C43" s="226" t="s">
        <v>296</v>
      </c>
      <c r="D43" s="226" t="s">
        <v>297</v>
      </c>
      <c r="E43" s="226" t="s">
        <v>104</v>
      </c>
      <c r="F43" s="226" t="s">
        <v>101</v>
      </c>
      <c r="G43" s="227" t="s">
        <v>65</v>
      </c>
      <c r="H43" s="228">
        <v>46048</v>
      </c>
      <c r="I43" s="229"/>
      <c r="J43" s="230" t="s">
        <v>36</v>
      </c>
      <c r="K43" s="226" t="s">
        <v>298</v>
      </c>
      <c r="L43" s="227">
        <v>1</v>
      </c>
      <c r="M43" s="226" t="s">
        <v>36</v>
      </c>
      <c r="N43" s="226" t="s">
        <v>299</v>
      </c>
      <c r="O43" s="226" t="s">
        <v>300</v>
      </c>
      <c r="P43" s="17">
        <v>14000</v>
      </c>
      <c r="Q43" s="17">
        <f>ROUND(SUMIF(其他补发!B:B,$C43,其他补发!D:D),2)</f>
        <v>0</v>
      </c>
      <c r="R43" s="17">
        <f>ROUND(SUMIF(其他补发!B:B,$C43,其他补发!H:H),2)</f>
        <v>0</v>
      </c>
      <c r="S43" s="17">
        <f>ROUND(SUMIF(其他补发!B:B,$C43,其他补发!I:I),2)</f>
        <v>0</v>
      </c>
      <c r="T43" s="17">
        <f>ROUND(SUMIF(其他补发!B:B,$C43,其他补发!E:E),2)</f>
        <v>0</v>
      </c>
      <c r="U43" s="17">
        <f>ROUND((VLOOKUP(C43,考勤!C:H,6,0)+VLOOKUP(C43,考勤!C:O,13,0)+VLOOKUP(C43,考勤!C:P,14,0)*0.3+VLOOKUP(C43,考勤!C:AA,25,0))*(P43+Q43+R43)/21.75,2)+ROUND((VLOOKUP(C43,考勤!C:V,19,0)+VLOOKUP(C43,考勤!C:V,20,0))*(P43+Q43+R43-2520)/21.75,2)</f>
        <v>0</v>
      </c>
      <c r="V43" s="17">
        <f>ROUND(SUMIF(动态表!C:C,C43,动态表!AA:AA)+SUMIFS(其他补发!L:L,其他补发!B:B,C43),2)</f>
        <v>0</v>
      </c>
      <c r="W43" s="17">
        <f>ROUND(VLOOKUP(C43,考勤!C:K,9,0)*P43/21.75/8*2+VLOOKUP(C43,考勤!C:L,10,0)*P43/21.75/8*3,2)+SUMIFS(加班费!$H:$H,加班费!$D:$D,$C43)</f>
        <v>0</v>
      </c>
      <c r="X43" s="17">
        <f>SUMIF(奖金!D:D,C43,奖金!F:F)</f>
        <v>0</v>
      </c>
      <c r="Y43" s="17">
        <f>SUMIF(其他补发!B:B,C43,其他补发!J:J)</f>
        <v>0</v>
      </c>
      <c r="Z43" s="17">
        <f>SUMIF(其他补发!B:B,C43,其他补发!F:F)</f>
        <v>0</v>
      </c>
      <c r="AA43" s="17">
        <f>SUMIF(其他补发!B:B,C43,其他补发!G:G)</f>
        <v>0</v>
      </c>
      <c r="AB43" s="17">
        <f>SUMIF(其他补发!B:B,C43,其他补发!M:M)</f>
        <v>0</v>
      </c>
      <c r="AC43" s="17">
        <f>SUMIF(其他补发!B:B,C43,其他补发!N:N)</f>
        <v>0</v>
      </c>
      <c r="AD43" s="17">
        <f>SUMIF(其他补发!B:B,C43,其他补发!K:K)</f>
        <v>0</v>
      </c>
      <c r="AE43" s="17">
        <f t="shared" si="0"/>
        <v>0</v>
      </c>
      <c r="AF43" s="17">
        <f t="shared" si="1"/>
        <v>14000</v>
      </c>
      <c r="AG43" s="17">
        <f>SUMIF(税后扣款!B:B,C43,税后扣款!E:E)</f>
        <v>0</v>
      </c>
      <c r="AH43" s="17">
        <f>SUMIF(房租水电!A:A,C43,房租水电!C:C)</f>
        <v>0</v>
      </c>
      <c r="AI43" s="17">
        <f>SUMIF(房租水电!A:A,C43,房租水电!D:D)</f>
        <v>0</v>
      </c>
      <c r="AJ43" s="17">
        <f>SUMIF(税后扣款!B:B,C43,税后扣款!D:D)</f>
        <v>-160</v>
      </c>
      <c r="AK43" s="17">
        <f t="shared" si="2"/>
        <v>-160</v>
      </c>
      <c r="AL43" s="17">
        <f>SUMIF(社会保险!D:D,N43,社会保险!I:I)</f>
        <v>1120</v>
      </c>
      <c r="AM43" s="17">
        <f>SUMIF(社会保险!D:D,N43,社会保险!J:J)</f>
        <v>280</v>
      </c>
      <c r="AN43" s="17">
        <f>SUMIF(社会保险!D:D,N43,社会保险!K:K)</f>
        <v>28</v>
      </c>
      <c r="AO43" s="17">
        <f>SUMIF(公积金!C:C,N43,公积金!L:L)</f>
        <v>840</v>
      </c>
      <c r="AP43" s="17">
        <f>SUMIF(专项扣除!$B:$B,$C43,专项扣除!D:D)</f>
        <v>0</v>
      </c>
      <c r="AQ43" s="17">
        <f>SUMIF(专项扣除!$B:$B,$C43,专项扣除!E:E)</f>
        <v>0</v>
      </c>
      <c r="AR43" s="17">
        <f>SUMIF(专项扣除!$B:$B,$C43,专项扣除!F:F)</f>
        <v>0</v>
      </c>
      <c r="AS43" s="17">
        <f>SUMIF(专项扣除!$B:$B,$C43,专项扣除!G:G)</f>
        <v>0</v>
      </c>
      <c r="AT43" s="17">
        <f>SUMIF(专项扣除!$B:$B,$C43,专项扣除!H:H)</f>
        <v>0</v>
      </c>
      <c r="AU43" s="17">
        <f>SUMIF(专项扣除!$B:$B,$C43,专项扣除!I:I)</f>
        <v>0</v>
      </c>
      <c r="AV43" s="17">
        <f>SUMIF(专项扣除!$B:$B,$C43,专项扣除!J:J)</f>
        <v>0</v>
      </c>
      <c r="AW43" s="17">
        <v>5000</v>
      </c>
      <c r="AX43" s="17">
        <f t="shared" si="3"/>
        <v>7268</v>
      </c>
      <c r="AY43" s="17">
        <f>SUMIF(上月累计工资累计社保和公积金!C:C,C43,上月累计工资累计社保和公积金!E:E)</f>
        <v>73718.39</v>
      </c>
      <c r="AZ43" s="17">
        <f t="shared" si="4"/>
        <v>87718.39</v>
      </c>
      <c r="BA43" s="17">
        <f>SUMIF(上月累计工资累计社保和公积金!C:C,C43,上月累计工资累计社保和公积金!K:K)</f>
        <v>41340</v>
      </c>
      <c r="BB43" s="17">
        <f t="shared" si="5"/>
        <v>48608</v>
      </c>
      <c r="BC43" s="17">
        <f>ROUND(MAX((AZ43-BB43-AP43-AQ43-AR43-AS43-AT43-AU43-AV43)*0.01*{3,10,20,25,30,35,45}-{0,2520,16920,31920,52920,85920,181920},0),2)</f>
        <v>1391.04</v>
      </c>
      <c r="BD43" s="17">
        <f>SUMIF(上月累计工资累计社保和公积金!C:C,C43,上月累计工资累计社保和公积金!L:L)</f>
        <v>971.35</v>
      </c>
      <c r="BE43" s="17">
        <f t="shared" si="6"/>
        <v>419.69</v>
      </c>
      <c r="BF43" s="17">
        <f t="shared" si="7"/>
        <v>11472.31</v>
      </c>
      <c r="BG43" s="231"/>
      <c r="BH43" s="232" t="str">
        <f>VLOOKUP(C43,考勤!C:AL,36,0)</f>
        <v>andy@youdoogo.com</v>
      </c>
      <c r="BI43" s="233">
        <f t="shared" si="8"/>
        <v>0</v>
      </c>
      <c r="BJ43" s="236"/>
      <c r="BK43" s="235"/>
      <c r="BL43" s="235"/>
      <c r="BM43" s="235"/>
      <c r="BN43" s="235"/>
    </row>
    <row r="44" s="202" customFormat="1" ht="15.75" customHeight="1" spans="1:66">
      <c r="A44" s="224">
        <f t="shared" si="9"/>
        <v>42</v>
      </c>
      <c r="B44" s="225" t="s">
        <v>101</v>
      </c>
      <c r="C44" s="226" t="s">
        <v>301</v>
      </c>
      <c r="D44" s="226" t="s">
        <v>302</v>
      </c>
      <c r="E44" s="226" t="s">
        <v>104</v>
      </c>
      <c r="F44" s="226" t="s">
        <v>101</v>
      </c>
      <c r="G44" s="227" t="s">
        <v>65</v>
      </c>
      <c r="H44" s="228">
        <v>46056</v>
      </c>
      <c r="I44" s="229"/>
      <c r="J44" s="230" t="s">
        <v>36</v>
      </c>
      <c r="K44" s="226" t="s">
        <v>303</v>
      </c>
      <c r="L44" s="227">
        <v>1</v>
      </c>
      <c r="M44" s="226" t="s">
        <v>36</v>
      </c>
      <c r="N44" s="226" t="s">
        <v>304</v>
      </c>
      <c r="O44" s="226" t="s">
        <v>305</v>
      </c>
      <c r="P44" s="17">
        <v>15000</v>
      </c>
      <c r="Q44" s="17">
        <f>ROUND(SUMIF(其他补发!B:B,$C44,其他补发!D:D),2)</f>
        <v>0</v>
      </c>
      <c r="R44" s="17">
        <f>ROUND(SUMIF(其他补发!B:B,$C44,其他补发!H:H),2)</f>
        <v>0</v>
      </c>
      <c r="S44" s="17">
        <f>ROUND(SUMIF(其他补发!B:B,$C44,其他补发!I:I),2)</f>
        <v>0</v>
      </c>
      <c r="T44" s="17">
        <f>ROUND(SUMIF(其他补发!B:B,$C44,其他补发!E:E),2)</f>
        <v>0</v>
      </c>
      <c r="U44" s="17">
        <f>ROUND((VLOOKUP(C44,考勤!C:H,6,0)+VLOOKUP(C44,考勤!C:O,13,0)+VLOOKUP(C44,考勤!C:P,14,0)*0.3+VLOOKUP(C44,考勤!C:AA,25,0))*(P44+Q44+R44)/21.75,2)+ROUND((VLOOKUP(C44,考勤!C:V,19,0)+VLOOKUP(C44,考勤!C:V,20,0))*(P44+Q44+R44-2520)/21.75,2)</f>
        <v>0</v>
      </c>
      <c r="V44" s="17">
        <f>ROUND(SUMIF(动态表!C:C,C44,动态表!AA:AA)+SUMIFS(其他补发!L:L,其他补发!B:B,C44),2)</f>
        <v>0</v>
      </c>
      <c r="W44" s="17">
        <f>ROUND(VLOOKUP(C44,考勤!C:K,9,0)*P44/21.75/8*2+VLOOKUP(C44,考勤!C:L,10,0)*P44/21.75/8*3,2)+SUMIFS(加班费!$H:$H,加班费!$D:$D,$C44)</f>
        <v>0</v>
      </c>
      <c r="X44" s="17">
        <f>SUMIF(奖金!D:D,C44,奖金!F:F)</f>
        <v>0</v>
      </c>
      <c r="Y44" s="17">
        <f>SUMIF(其他补发!B:B,C44,其他补发!J:J)</f>
        <v>0</v>
      </c>
      <c r="Z44" s="17">
        <f>SUMIF(其他补发!B:B,C44,其他补发!F:F)</f>
        <v>0</v>
      </c>
      <c r="AA44" s="17">
        <f>SUMIF(其他补发!B:B,C44,其他补发!G:G)</f>
        <v>0</v>
      </c>
      <c r="AB44" s="17">
        <f>SUMIF(其他补发!B:B,C44,其他补发!M:M)</f>
        <v>0</v>
      </c>
      <c r="AC44" s="17">
        <f>SUMIF(其他补发!B:B,C44,其他补发!N:N)</f>
        <v>0</v>
      </c>
      <c r="AD44" s="17">
        <f>SUMIF(其他补发!B:B,C44,其他补发!K:K)</f>
        <v>0</v>
      </c>
      <c r="AE44" s="17">
        <f t="shared" si="0"/>
        <v>0</v>
      </c>
      <c r="AF44" s="17">
        <f t="shared" si="1"/>
        <v>15000</v>
      </c>
      <c r="AG44" s="17">
        <f>SUMIF(税后扣款!B:B,C44,税后扣款!E:E)</f>
        <v>0</v>
      </c>
      <c r="AH44" s="17">
        <f>SUMIF(房租水电!A:A,C44,房租水电!C:C)</f>
        <v>0</v>
      </c>
      <c r="AI44" s="17">
        <f>SUMIF(房租水电!A:A,C44,房租水电!D:D)</f>
        <v>0</v>
      </c>
      <c r="AJ44" s="17">
        <f>SUMIF(税后扣款!B:B,C44,税后扣款!D:D)</f>
        <v>0</v>
      </c>
      <c r="AK44" s="17">
        <f t="shared" si="2"/>
        <v>0</v>
      </c>
      <c r="AL44" s="17">
        <f>SUMIF(社会保险!D:D,N44,社会保险!I:I)</f>
        <v>1200</v>
      </c>
      <c r="AM44" s="17">
        <f>SUMIF(社会保险!D:D,N44,社会保险!J:J)</f>
        <v>300</v>
      </c>
      <c r="AN44" s="17">
        <f>SUMIF(社会保险!D:D,N44,社会保险!K:K)</f>
        <v>30</v>
      </c>
      <c r="AO44" s="17">
        <f>SUMIF(公积金!C:C,N44,公积金!L:L)</f>
        <v>900</v>
      </c>
      <c r="AP44" s="17">
        <f>SUMIF(专项扣除!$B:$B,$C44,专项扣除!D:D)</f>
        <v>0</v>
      </c>
      <c r="AQ44" s="17">
        <f>SUMIF(专项扣除!$B:$B,$C44,专项扣除!E:E)</f>
        <v>0</v>
      </c>
      <c r="AR44" s="17">
        <f>SUMIF(专项扣除!$B:$B,$C44,专项扣除!F:F)</f>
        <v>0</v>
      </c>
      <c r="AS44" s="17">
        <f>SUMIF(专项扣除!$B:$B,$C44,专项扣除!G:G)</f>
        <v>0</v>
      </c>
      <c r="AT44" s="17">
        <f>SUMIF(专项扣除!$B:$B,$C44,专项扣除!H:H)</f>
        <v>0</v>
      </c>
      <c r="AU44" s="17">
        <f>SUMIF(专项扣除!$B:$B,$C44,专项扣除!I:I)</f>
        <v>0</v>
      </c>
      <c r="AV44" s="17">
        <f>SUMIF(专项扣除!$B:$B,$C44,专项扣除!J:J)</f>
        <v>0</v>
      </c>
      <c r="AW44" s="17">
        <v>5000</v>
      </c>
      <c r="AX44" s="17">
        <f t="shared" si="3"/>
        <v>7430</v>
      </c>
      <c r="AY44" s="17">
        <f>SUMIF(上月累计工资累计社保和公积金!C:C,C44,上月累计工资累计社保和公积金!E:E)</f>
        <v>74810.34</v>
      </c>
      <c r="AZ44" s="17">
        <f t="shared" si="4"/>
        <v>89810.34</v>
      </c>
      <c r="BA44" s="17">
        <f>SUMIF(上月累计工资累计社保和公积金!C:C,C44,上月累计工资累计社保和公积金!K:K)</f>
        <v>37150</v>
      </c>
      <c r="BB44" s="17">
        <f t="shared" si="5"/>
        <v>44580</v>
      </c>
      <c r="BC44" s="17">
        <f>ROUND(MAX((AZ44-BB44-AP44-AQ44-AR44-AS44-AT44-AU44-AV44)*0.01*{3,10,20,25,30,35,45}-{0,2520,16920,31920,52920,85920,181920},0),2)</f>
        <v>2003.03</v>
      </c>
      <c r="BD44" s="17">
        <f>SUMIF(上月累计工资累计社保和公积金!C:C,C44,上月累计工资累计社保和公积金!L:L)</f>
        <v>1246.03</v>
      </c>
      <c r="BE44" s="17">
        <f t="shared" si="6"/>
        <v>757</v>
      </c>
      <c r="BF44" s="17">
        <f t="shared" si="7"/>
        <v>11813</v>
      </c>
      <c r="BG44" s="231"/>
      <c r="BH44" s="232" t="str">
        <f>VLOOKUP(C44,考勤!C:AL,36,0)</f>
        <v>pulu@youdoogo.com</v>
      </c>
      <c r="BI44" s="233">
        <f t="shared" si="8"/>
        <v>0</v>
      </c>
      <c r="BJ44" s="236"/>
      <c r="BK44" s="235"/>
      <c r="BL44" s="235"/>
      <c r="BM44" s="235"/>
      <c r="BN44" s="235"/>
    </row>
    <row r="45" s="202" customFormat="1" ht="15.75" customHeight="1" spans="1:66">
      <c r="A45" s="224">
        <f t="shared" si="9"/>
        <v>43</v>
      </c>
      <c r="B45" s="225" t="s">
        <v>101</v>
      </c>
      <c r="C45" s="226" t="s">
        <v>306</v>
      </c>
      <c r="D45" s="226" t="s">
        <v>307</v>
      </c>
      <c r="E45" s="226" t="s">
        <v>104</v>
      </c>
      <c r="F45" s="226" t="s">
        <v>101</v>
      </c>
      <c r="G45" s="227" t="s">
        <v>64</v>
      </c>
      <c r="H45" s="228">
        <v>46080</v>
      </c>
      <c r="I45" s="229"/>
      <c r="J45" s="230" t="s">
        <v>38</v>
      </c>
      <c r="K45" s="226" t="s">
        <v>172</v>
      </c>
      <c r="L45" s="227">
        <v>1</v>
      </c>
      <c r="M45" s="226" t="s">
        <v>38</v>
      </c>
      <c r="N45" s="226" t="s">
        <v>308</v>
      </c>
      <c r="O45" s="226" t="s">
        <v>309</v>
      </c>
      <c r="P45" s="17">
        <v>35000</v>
      </c>
      <c r="Q45" s="17">
        <f>ROUND(SUMIF(其他补发!B:B,$C45,其他补发!D:D),2)</f>
        <v>0</v>
      </c>
      <c r="R45" s="17">
        <f>ROUND(SUMIF(其他补发!B:B,$C45,其他补发!H:H),2)</f>
        <v>0</v>
      </c>
      <c r="S45" s="17">
        <f>ROUND(SUMIF(其他补发!B:B,$C45,其他补发!I:I),2)</f>
        <v>0</v>
      </c>
      <c r="T45" s="17">
        <f>ROUND(SUMIF(其他补发!B:B,$C45,其他补发!E:E),2)</f>
        <v>0</v>
      </c>
      <c r="U45" s="17">
        <f>ROUND((VLOOKUP(C45,考勤!C:H,6,0)+VLOOKUP(C45,考勤!C:O,13,0)+VLOOKUP(C45,考勤!C:P,14,0)*0.3+VLOOKUP(C45,考勤!C:AA,25,0))*(P45+Q45+R45)/21.75,2)+ROUND((VLOOKUP(C45,考勤!C:V,19,0)+VLOOKUP(C45,考勤!C:V,20,0))*(P45+Q45+R45-2520)/21.75,2)</f>
        <v>0</v>
      </c>
      <c r="V45" s="17">
        <f>ROUND(SUMIF(动态表!C:C,C45,动态表!AA:AA)+SUMIFS(其他补发!L:L,其他补发!B:B,C45),2)</f>
        <v>0</v>
      </c>
      <c r="W45" s="17">
        <f>ROUND(VLOOKUP(C45,考勤!C:K,9,0)*P45/21.75/8*2+VLOOKUP(C45,考勤!C:L,10,0)*P45/21.75/8*3,2)+SUMIFS(加班费!$H:$H,加班费!$D:$D,$C45)</f>
        <v>0</v>
      </c>
      <c r="X45" s="17">
        <f>SUMIF(奖金!D:D,C45,奖金!F:F)</f>
        <v>0</v>
      </c>
      <c r="Y45" s="17">
        <f>SUMIF(其他补发!B:B,C45,其他补发!J:J)</f>
        <v>0</v>
      </c>
      <c r="Z45" s="17">
        <f>SUMIF(其他补发!B:B,C45,其他补发!F:F)</f>
        <v>0</v>
      </c>
      <c r="AA45" s="17">
        <f>SUMIF(其他补发!B:B,C45,其他补发!G:G)</f>
        <v>0</v>
      </c>
      <c r="AB45" s="17">
        <f>SUMIF(其他补发!B:B,C45,其他补发!M:M)</f>
        <v>0</v>
      </c>
      <c r="AC45" s="17">
        <f>SUMIF(其他补发!B:B,C45,其他补发!N:N)</f>
        <v>0</v>
      </c>
      <c r="AD45" s="17">
        <f>SUMIF(其他补发!B:B,C45,其他补发!K:K)</f>
        <v>0</v>
      </c>
      <c r="AE45" s="17">
        <f t="shared" si="0"/>
        <v>0</v>
      </c>
      <c r="AF45" s="17">
        <f t="shared" si="1"/>
        <v>35000</v>
      </c>
      <c r="AG45" s="17">
        <f>SUMIF(税后扣款!B:B,C45,税后扣款!E:E)</f>
        <v>0</v>
      </c>
      <c r="AH45" s="17">
        <f>SUMIF(房租水电!A:A,C45,房租水电!C:C)</f>
        <v>0</v>
      </c>
      <c r="AI45" s="17">
        <f>SUMIF(房租水电!A:A,C45,房租水电!D:D)</f>
        <v>0</v>
      </c>
      <c r="AJ45" s="17">
        <f>SUMIF(税后扣款!B:B,C45,税后扣款!D:D)</f>
        <v>-240</v>
      </c>
      <c r="AK45" s="17">
        <f t="shared" si="2"/>
        <v>-240</v>
      </c>
      <c r="AL45" s="17">
        <f>SUMIF(社会保险!D:D,N45,社会保险!I:I)</f>
        <v>2203.92</v>
      </c>
      <c r="AM45" s="17">
        <f>SUMIF(社会保险!D:D,N45,社会保险!J:J)</f>
        <v>672.66</v>
      </c>
      <c r="AN45" s="17">
        <f>SUMIF(社会保险!D:D,N45,社会保险!K:K)</f>
        <v>70</v>
      </c>
      <c r="AO45" s="17">
        <f>SUMIF(公积金!C:C,N45,公积金!L:L)</f>
        <v>2100</v>
      </c>
      <c r="AP45" s="17">
        <f>SUMIF(专项扣除!$B:$B,$C45,专项扣除!D:D)</f>
        <v>0</v>
      </c>
      <c r="AQ45" s="17">
        <f>SUMIF(专项扣除!$B:$B,$C45,专项扣除!E:E)</f>
        <v>0</v>
      </c>
      <c r="AR45" s="17">
        <f>SUMIF(专项扣除!$B:$B,$C45,专项扣除!F:F)</f>
        <v>0</v>
      </c>
      <c r="AS45" s="17">
        <f>SUMIF(专项扣除!$B:$B,$C45,专项扣除!G:G)</f>
        <v>0</v>
      </c>
      <c r="AT45" s="17">
        <f>SUMIF(专项扣除!$B:$B,$C45,专项扣除!H:H)</f>
        <v>0</v>
      </c>
      <c r="AU45" s="17">
        <f>SUMIF(专项扣除!$B:$B,$C45,专项扣除!I:I)</f>
        <v>0</v>
      </c>
      <c r="AV45" s="17">
        <f>SUMIF(专项扣除!$B:$B,$C45,专项扣除!J:J)</f>
        <v>0</v>
      </c>
      <c r="AW45" s="17">
        <v>5000</v>
      </c>
      <c r="AX45" s="17">
        <f t="shared" si="3"/>
        <v>10046.58</v>
      </c>
      <c r="AY45" s="17">
        <f>SUMIF(上月累计工资累计社保和公积金!C:C,C45,上月累计工资累计社保和公积金!E:E)</f>
        <v>142813.79</v>
      </c>
      <c r="AZ45" s="17">
        <f t="shared" si="4"/>
        <v>177813.79</v>
      </c>
      <c r="BA45" s="17">
        <f>SUMIF(上月累计工资累计社保和公积金!C:C,C45,上月累计工资累计社保和公积金!K:K)</f>
        <v>45186.32</v>
      </c>
      <c r="BB45" s="17">
        <f t="shared" si="5"/>
        <v>55232.9</v>
      </c>
      <c r="BC45" s="17">
        <f>ROUND(MAX((AZ45-BB45-AP45-AQ45-AR45-AS45-AT45-AU45-AV45)*0.01*{3,10,20,25,30,35,45}-{0,2520,16920,31920,52920,85920,181920},0),2)</f>
        <v>9738.09</v>
      </c>
      <c r="BD45" s="17">
        <f>SUMIF(上月累计工资累计社保和公积金!C:C,C45,上月累计工资累计社保和公积金!L:L)</f>
        <v>7242.75</v>
      </c>
      <c r="BE45" s="17">
        <f t="shared" si="6"/>
        <v>2495.34</v>
      </c>
      <c r="BF45" s="17">
        <f t="shared" si="7"/>
        <v>27698.08</v>
      </c>
      <c r="BG45" s="231"/>
      <c r="BH45" s="232" t="str">
        <f>VLOOKUP(C45,考勤!C:AL,36,0)</f>
        <v>leon@youdoogo.com</v>
      </c>
      <c r="BI45" s="233">
        <f t="shared" si="8"/>
        <v>0</v>
      </c>
      <c r="BJ45" s="236"/>
      <c r="BK45" s="235"/>
      <c r="BL45" s="235"/>
      <c r="BM45" s="235"/>
      <c r="BN45" s="235"/>
    </row>
    <row r="46" s="202" customFormat="1" ht="15.75" customHeight="1" spans="1:66">
      <c r="A46" s="224">
        <f t="shared" si="9"/>
        <v>44</v>
      </c>
      <c r="B46" s="225" t="s">
        <v>101</v>
      </c>
      <c r="C46" s="225" t="s">
        <v>310</v>
      </c>
      <c r="D46" s="226" t="s">
        <v>311</v>
      </c>
      <c r="E46" s="226" t="s">
        <v>312</v>
      </c>
      <c r="F46" s="226" t="s">
        <v>101</v>
      </c>
      <c r="G46" s="227" t="s">
        <v>67</v>
      </c>
      <c r="H46" s="228">
        <v>46094</v>
      </c>
      <c r="I46" s="229"/>
      <c r="J46" s="230" t="s">
        <v>36</v>
      </c>
      <c r="K46" s="226" t="s">
        <v>313</v>
      </c>
      <c r="L46" s="227">
        <v>1</v>
      </c>
      <c r="M46" s="226" t="s">
        <v>36</v>
      </c>
      <c r="N46" s="226" t="s">
        <v>314</v>
      </c>
      <c r="O46" s="226" t="s">
        <v>315</v>
      </c>
      <c r="P46" s="17">
        <v>4000</v>
      </c>
      <c r="Q46" s="17">
        <f>ROUND(SUMIF(其他补发!B:B,$C46,其他补发!D:D),2)</f>
        <v>0</v>
      </c>
      <c r="R46" s="17">
        <f>ROUND(SUMIF(其他补发!B:B,$C46,其他补发!H:H),2)</f>
        <v>0</v>
      </c>
      <c r="S46" s="17">
        <f>ROUND(SUMIF(其他补发!B:B,$C46,其他补发!I:I),2)</f>
        <v>0</v>
      </c>
      <c r="T46" s="17">
        <f>ROUND(SUMIF(其他补发!B:B,$C46,其他补发!E:E),2)</f>
        <v>0</v>
      </c>
      <c r="U46" s="17">
        <f>ROUND((VLOOKUP(C46,考勤!C:H,6,0)+VLOOKUP(C46,考勤!C:O,13,0)+VLOOKUP(C46,考勤!C:P,14,0)*0.3+VLOOKUP(C46,考勤!C:AA,25,0))*(P46+Q46+R46)/21.75,2)+ROUND((VLOOKUP(C46,考勤!C:V,19,0)+VLOOKUP(C46,考勤!C:V,20,0))*(P46+Q46+R46-2520)/21.75,2)</f>
        <v>0</v>
      </c>
      <c r="V46" s="17">
        <f>ROUND(SUMIF(动态表!C:C,C46,动态表!AA:AA)+SUMIFS(其他补发!L:L,其他补发!B:B,C46),2)</f>
        <v>0</v>
      </c>
      <c r="W46" s="17">
        <f>ROUND(VLOOKUP(C46,考勤!C:K,9,0)*P46/21.75/8*2+VLOOKUP(C46,考勤!C:L,10,0)*P46/21.75/8*3,2)+SUMIFS(加班费!$H:$H,加班费!$D:$D,$C46)</f>
        <v>0</v>
      </c>
      <c r="X46" s="17">
        <f>SUMIF(奖金!D:D,C46,奖金!F:F)</f>
        <v>0</v>
      </c>
      <c r="Y46" s="17">
        <f>SUMIF(其他补发!B:B,C46,其他补发!J:J)</f>
        <v>0</v>
      </c>
      <c r="Z46" s="17">
        <f>SUMIF(其他补发!B:B,C46,其他补发!F:F)</f>
        <v>0</v>
      </c>
      <c r="AA46" s="17">
        <f>SUMIF(其他补发!B:B,C46,其他补发!G:G)</f>
        <v>0</v>
      </c>
      <c r="AB46" s="17">
        <f>SUMIF(其他补发!B:B,C46,其他补发!M:M)</f>
        <v>0</v>
      </c>
      <c r="AC46" s="17">
        <f>SUMIF(其他补发!B:B,C46,其他补发!N:N)</f>
        <v>0</v>
      </c>
      <c r="AD46" s="17">
        <f>SUMIF(其他补发!B:B,C46,其他补发!K:K)</f>
        <v>0</v>
      </c>
      <c r="AE46" s="17">
        <f t="shared" si="0"/>
        <v>0</v>
      </c>
      <c r="AF46" s="17">
        <f t="shared" si="1"/>
        <v>4000</v>
      </c>
      <c r="AG46" s="17">
        <f>SUMIF(税后扣款!B:B,C46,税后扣款!E:E)</f>
        <v>0</v>
      </c>
      <c r="AH46" s="17">
        <f>SUMIF(房租水电!A:A,C46,房租水电!C:C)</f>
        <v>0</v>
      </c>
      <c r="AI46" s="17">
        <f>SUMIF(房租水电!A:A,C46,房租水电!D:D)</f>
        <v>0</v>
      </c>
      <c r="AJ46" s="17">
        <f>SUMIF(税后扣款!B:B,C46,税后扣款!D:D)</f>
        <v>0</v>
      </c>
      <c r="AK46" s="17">
        <f t="shared" si="2"/>
        <v>0</v>
      </c>
      <c r="AL46" s="17">
        <f>SUMIF(社会保险!D:D,N46,社会保险!I:I)</f>
        <v>0</v>
      </c>
      <c r="AM46" s="17">
        <f>SUMIF(社会保险!D:D,N46,社会保险!J:J)</f>
        <v>0</v>
      </c>
      <c r="AN46" s="17">
        <f>SUMIF(社会保险!D:D,N46,社会保险!K:K)</f>
        <v>0</v>
      </c>
      <c r="AO46" s="17">
        <f>SUMIF(公积金!C:C,N46,公积金!L:L)</f>
        <v>0</v>
      </c>
      <c r="AP46" s="17">
        <f>SUMIF(专项扣除!$B:$B,$C46,专项扣除!D:D)</f>
        <v>0</v>
      </c>
      <c r="AQ46" s="17">
        <f>SUMIF(专项扣除!$B:$B,$C46,专项扣除!E:E)</f>
        <v>0</v>
      </c>
      <c r="AR46" s="17">
        <f>SUMIF(专项扣除!$B:$B,$C46,专项扣除!F:F)</f>
        <v>0</v>
      </c>
      <c r="AS46" s="17">
        <f>SUMIF(专项扣除!$B:$B,$C46,专项扣除!G:G)</f>
        <v>0</v>
      </c>
      <c r="AT46" s="17">
        <f>SUMIF(专项扣除!$B:$B,$C46,专项扣除!H:H)</f>
        <v>0</v>
      </c>
      <c r="AU46" s="17">
        <f>SUMIF(专项扣除!$B:$B,$C46,专项扣除!I:I)</f>
        <v>0</v>
      </c>
      <c r="AV46" s="17">
        <f>SUMIF(专项扣除!$B:$B,$C46,专项扣除!J:J)</f>
        <v>0</v>
      </c>
      <c r="AW46" s="17">
        <v>5000</v>
      </c>
      <c r="AX46" s="17">
        <f t="shared" si="3"/>
        <v>5000</v>
      </c>
      <c r="AY46" s="17">
        <f>SUMIF(上月累计工资累计社保和公积金!C:C,C46,上月累计工资累计社保和公积金!E:E)</f>
        <v>14360.92</v>
      </c>
      <c r="AZ46" s="17">
        <f t="shared" si="4"/>
        <v>14688.736</v>
      </c>
      <c r="BA46" s="17">
        <f>SUMIF(上月累计工资累计社保和公积金!C:C,C46,上月累计工资累计社保和公积金!K:K)</f>
        <v>20000</v>
      </c>
      <c r="BB46" s="17">
        <f t="shared" si="5"/>
        <v>25000</v>
      </c>
      <c r="BC46" s="17">
        <f>ROUND(MAX((AZ46-BB46-AP46-AQ46-AR46-AS46-AT46-AU46-AV46)*0.01*{3,10,20,25,30,35,45}-{0,2520,16920,31920,52920,85920,181920},0),2)</f>
        <v>0</v>
      </c>
      <c r="BD46" s="17">
        <f>SUMIF(上月累计工资累计社保和公积金!C:C,C46,上月累计工资累计社保和公积金!L:L)</f>
        <v>0</v>
      </c>
      <c r="BE46" s="17">
        <f t="shared" si="6"/>
        <v>0</v>
      </c>
      <c r="BF46" s="17">
        <f t="shared" si="7"/>
        <v>4000</v>
      </c>
      <c r="BG46" s="231"/>
      <c r="BH46" s="232" t="str">
        <f>VLOOKUP(C46,考勤!C:AL,36,0)</f>
        <v>jasper@youdoogo.com</v>
      </c>
      <c r="BI46" s="233">
        <f t="shared" si="8"/>
        <v>0</v>
      </c>
      <c r="BJ46" s="236"/>
      <c r="BK46" s="235"/>
      <c r="BL46" s="235"/>
      <c r="BM46" s="235"/>
      <c r="BN46" s="235"/>
    </row>
    <row r="47" s="202" customFormat="1" ht="15.75" customHeight="1" spans="1:66">
      <c r="A47" s="224">
        <f t="shared" si="9"/>
        <v>45</v>
      </c>
      <c r="B47" s="225" t="s">
        <v>101</v>
      </c>
      <c r="C47" s="225" t="s">
        <v>316</v>
      </c>
      <c r="D47" s="226" t="s">
        <v>317</v>
      </c>
      <c r="E47" s="226" t="s">
        <v>104</v>
      </c>
      <c r="F47" s="226" t="s">
        <v>101</v>
      </c>
      <c r="G47" s="227" t="s">
        <v>67</v>
      </c>
      <c r="H47" s="228">
        <v>46112</v>
      </c>
      <c r="I47" s="229"/>
      <c r="J47" s="230" t="s">
        <v>36</v>
      </c>
      <c r="K47" s="226" t="s">
        <v>318</v>
      </c>
      <c r="L47" s="227">
        <v>1</v>
      </c>
      <c r="M47" s="226" t="s">
        <v>36</v>
      </c>
      <c r="N47" s="226" t="s">
        <v>319</v>
      </c>
      <c r="O47" s="226" t="s">
        <v>320</v>
      </c>
      <c r="P47" s="17">
        <v>26000</v>
      </c>
      <c r="Q47" s="17">
        <f>ROUND(SUMIF(其他补发!B:B,$C47,其他补发!D:D),2)</f>
        <v>0</v>
      </c>
      <c r="R47" s="17">
        <f>ROUND(SUMIF(其他补发!B:B,$C47,其他补发!H:H),2)</f>
        <v>0</v>
      </c>
      <c r="S47" s="17">
        <f>ROUND(SUMIF(其他补发!B:B,$C47,其他补发!I:I),2)</f>
        <v>0</v>
      </c>
      <c r="T47" s="17">
        <f>ROUND(SUMIF(其他补发!B:B,$C47,其他补发!E:E),2)</f>
        <v>0</v>
      </c>
      <c r="U47" s="17">
        <f>ROUND((VLOOKUP(C47,考勤!C:H,6,0)+VLOOKUP(C47,考勤!C:O,13,0)+VLOOKUP(C47,考勤!C:P,14,0)*0.3+VLOOKUP(C47,考勤!C:AA,25,0))*(P47+Q47+R47)/21.75,2)+ROUND((VLOOKUP(C47,考勤!C:V,19,0)+VLOOKUP(C47,考勤!C:V,20,0))*(P47+Q47+R47-2520)/21.75,2)</f>
        <v>0</v>
      </c>
      <c r="V47" s="17">
        <f>ROUND(SUMIF(动态表!C:C,C47,动态表!AA:AA)+SUMIFS(其他补发!L:L,其他补发!B:B,C47),2)</f>
        <v>0</v>
      </c>
      <c r="W47" s="17">
        <f>ROUND(VLOOKUP(C47,考勤!C:K,9,0)*P47/21.75/8*2+VLOOKUP(C47,考勤!C:L,10,0)*P47/21.75/8*3,2)+SUMIFS(加班费!$H:$H,加班费!$D:$D,$C47)</f>
        <v>0</v>
      </c>
      <c r="X47" s="17">
        <f>SUMIF(奖金!D:D,C47,奖金!F:F)</f>
        <v>0</v>
      </c>
      <c r="Y47" s="17">
        <f>SUMIF(其他补发!B:B,C47,其他补发!J:J)</f>
        <v>0</v>
      </c>
      <c r="Z47" s="17">
        <f>SUMIF(其他补发!B:B,C47,其他补发!F:F)</f>
        <v>0</v>
      </c>
      <c r="AA47" s="17">
        <f>SUMIF(其他补发!B:B,C47,其他补发!G:G)</f>
        <v>0</v>
      </c>
      <c r="AB47" s="17">
        <f>SUMIF(其他补发!B:B,C47,其他补发!M:M)</f>
        <v>0</v>
      </c>
      <c r="AC47" s="17">
        <f>SUMIF(其他补发!B:B,C47,其他补发!N:N)</f>
        <v>0</v>
      </c>
      <c r="AD47" s="17">
        <f>SUMIF(其他补发!B:B,C47,其他补发!K:K)</f>
        <v>200</v>
      </c>
      <c r="AE47" s="17">
        <f t="shared" si="0"/>
        <v>200</v>
      </c>
      <c r="AF47" s="17">
        <f t="shared" si="1"/>
        <v>26200</v>
      </c>
      <c r="AG47" s="17">
        <f>SUMIF(税后扣款!B:B,C47,税后扣款!E:E)</f>
        <v>0</v>
      </c>
      <c r="AH47" s="17">
        <f>SUMIF(房租水电!A:A,C47,房租水电!C:C)</f>
        <v>0</v>
      </c>
      <c r="AI47" s="17">
        <f>SUMIF(房租水电!A:A,C47,房租水电!D:D)</f>
        <v>0</v>
      </c>
      <c r="AJ47" s="17">
        <f>SUMIF(税后扣款!B:B,C47,税后扣款!D:D)</f>
        <v>40</v>
      </c>
      <c r="AK47" s="17">
        <f t="shared" si="2"/>
        <v>40</v>
      </c>
      <c r="AL47" s="17">
        <f>SUMIF(社会保险!D:D,N47,社会保险!I:I)</f>
        <v>2080</v>
      </c>
      <c r="AM47" s="17">
        <f>SUMIF(社会保险!D:D,N47,社会保险!J:J)</f>
        <v>520</v>
      </c>
      <c r="AN47" s="17">
        <f>SUMIF(社会保险!D:D,N47,社会保险!K:K)</f>
        <v>52</v>
      </c>
      <c r="AO47" s="17">
        <f>SUMIF(公积金!C:C,N47,公积金!L:L)</f>
        <v>2340</v>
      </c>
      <c r="AP47" s="17">
        <f>SUMIF(专项扣除!$B:$B,$C47,专项扣除!D:D)</f>
        <v>0</v>
      </c>
      <c r="AQ47" s="17">
        <f>SUMIF(专项扣除!$B:$B,$C47,专项扣除!E:E)</f>
        <v>0</v>
      </c>
      <c r="AR47" s="17">
        <f>SUMIF(专项扣除!$B:$B,$C47,专项扣除!F:F)</f>
        <v>0</v>
      </c>
      <c r="AS47" s="17">
        <f>SUMIF(专项扣除!$B:$B,$C47,专项扣除!G:G)</f>
        <v>0</v>
      </c>
      <c r="AT47" s="17">
        <f>SUMIF(专项扣除!$B:$B,$C47,专项扣除!H:H)</f>
        <v>0</v>
      </c>
      <c r="AU47" s="17">
        <f>SUMIF(专项扣除!$B:$B,$C47,专项扣除!I:I)</f>
        <v>0</v>
      </c>
      <c r="AV47" s="17">
        <f>SUMIF(专项扣除!$B:$B,$C47,专项扣除!J:J)</f>
        <v>0</v>
      </c>
      <c r="AW47" s="17">
        <v>5000</v>
      </c>
      <c r="AX47" s="17">
        <f t="shared" si="3"/>
        <v>9992</v>
      </c>
      <c r="AY47" s="17">
        <f>SUMIF(上月累计工资累计社保和公积金!C:C,C47,上月累计工资累计社保和公积金!E:E)</f>
        <v>79395.4</v>
      </c>
      <c r="AZ47" s="17">
        <f t="shared" si="4"/>
        <v>105595.4</v>
      </c>
      <c r="BA47" s="17">
        <f>SUMIF(上月累计工资累计社保和公积金!C:C,C47,上月累计工资累计社保和公积金!K:K)</f>
        <v>32636</v>
      </c>
      <c r="BB47" s="17">
        <f t="shared" si="5"/>
        <v>42628</v>
      </c>
      <c r="BC47" s="17">
        <f>ROUND(MAX((AZ47-BB47-AP47-AQ47-AR47-AS47-AT47-AU47-AV47)*0.01*{3,10,20,25,30,35,45}-{0,2520,16920,31920,52920,85920,181920},0),2)</f>
        <v>3776.74</v>
      </c>
      <c r="BD47" s="17">
        <f>SUMIF(上月累计工资累计社保和公积金!C:C,C47,上月累计工资累计社保和公积金!L:L)</f>
        <v>2155.94</v>
      </c>
      <c r="BE47" s="17">
        <f t="shared" si="6"/>
        <v>1620.8</v>
      </c>
      <c r="BF47" s="17">
        <f t="shared" si="7"/>
        <v>19547.2</v>
      </c>
      <c r="BG47" s="231"/>
      <c r="BH47" s="232" t="str">
        <f>VLOOKUP(C47,考勤!C:AL,36,0)</f>
        <v>rudy@youdoogo.com</v>
      </c>
      <c r="BI47" s="233">
        <f t="shared" si="8"/>
        <v>0</v>
      </c>
      <c r="BJ47" s="236"/>
      <c r="BK47" s="235"/>
      <c r="BL47" s="235"/>
      <c r="BM47" s="235"/>
      <c r="BN47" s="235"/>
    </row>
    <row r="48" s="202" customFormat="1" ht="15.75" customHeight="1" spans="1:66">
      <c r="A48" s="224">
        <f t="shared" si="9"/>
        <v>46</v>
      </c>
      <c r="B48" s="225" t="s">
        <v>101</v>
      </c>
      <c r="C48" s="225" t="s">
        <v>321</v>
      </c>
      <c r="D48" s="226" t="s">
        <v>322</v>
      </c>
      <c r="E48" s="226" t="s">
        <v>104</v>
      </c>
      <c r="F48" s="226" t="s">
        <v>101</v>
      </c>
      <c r="G48" s="227" t="s">
        <v>69</v>
      </c>
      <c r="H48" s="228">
        <v>46112</v>
      </c>
      <c r="I48" s="229"/>
      <c r="J48" s="230" t="s">
        <v>33</v>
      </c>
      <c r="K48" s="226" t="s">
        <v>323</v>
      </c>
      <c r="L48" s="227">
        <v>1</v>
      </c>
      <c r="M48" s="226" t="s">
        <v>33</v>
      </c>
      <c r="N48" s="226" t="s">
        <v>324</v>
      </c>
      <c r="O48" s="226" t="s">
        <v>325</v>
      </c>
      <c r="P48" s="17">
        <v>15000</v>
      </c>
      <c r="Q48" s="17">
        <f>ROUND(SUMIF(其他补发!B:B,$C48,其他补发!D:D),2)</f>
        <v>0</v>
      </c>
      <c r="R48" s="17">
        <f>ROUND(SUMIF(其他补发!B:B,$C48,其他补发!H:H),2)</f>
        <v>0</v>
      </c>
      <c r="S48" s="17">
        <f>ROUND(SUMIF(其他补发!B:B,$C48,其他补发!I:I),2)</f>
        <v>0</v>
      </c>
      <c r="T48" s="17">
        <f>ROUND(SUMIF(其他补发!B:B,$C48,其他补发!E:E),2)</f>
        <v>0</v>
      </c>
      <c r="U48" s="17">
        <f>ROUND((VLOOKUP(C48,考勤!C:H,6,0)+VLOOKUP(C48,考勤!C:O,13,0)+VLOOKUP(C48,考勤!C:P,14,0)*0.3+VLOOKUP(C48,考勤!C:AA,25,0))*(P48+Q48+R48)/21.75,2)+ROUND((VLOOKUP(C48,考勤!C:V,19,0)+VLOOKUP(C48,考勤!C:V,20,0))*(P48+Q48+R48-2520)/21.75,2)</f>
        <v>0</v>
      </c>
      <c r="V48" s="17">
        <f>ROUND(SUMIF(动态表!C:C,C48,动态表!AA:AA)+SUMIFS(其他补发!L:L,其他补发!B:B,C48),2)</f>
        <v>0</v>
      </c>
      <c r="W48" s="17">
        <f>ROUND(VLOOKUP(C48,考勤!C:K,9,0)*P48/21.75/8*2+VLOOKUP(C48,考勤!C:L,10,0)*P48/21.75/8*3,2)+SUMIFS(加班费!$H:$H,加班费!$D:$D,$C48)</f>
        <v>0</v>
      </c>
      <c r="X48" s="17">
        <f>SUMIF(奖金!D:D,C48,奖金!F:F)</f>
        <v>0</v>
      </c>
      <c r="Y48" s="17">
        <f>SUMIF(其他补发!B:B,C48,其他补发!J:J)</f>
        <v>0</v>
      </c>
      <c r="Z48" s="17">
        <f>SUMIF(其他补发!B:B,C48,其他补发!F:F)</f>
        <v>0</v>
      </c>
      <c r="AA48" s="17">
        <f>SUMIF(其他补发!B:B,C48,其他补发!G:G)</f>
        <v>0</v>
      </c>
      <c r="AB48" s="17">
        <f>SUMIF(其他补发!B:B,C48,其他补发!M:M)</f>
        <v>0</v>
      </c>
      <c r="AC48" s="17">
        <f>SUMIF(其他补发!B:B,C48,其他补发!N:N)</f>
        <v>0</v>
      </c>
      <c r="AD48" s="17">
        <f>SUMIF(其他补发!B:B,C48,其他补发!K:K)</f>
        <v>0</v>
      </c>
      <c r="AE48" s="17">
        <f t="shared" si="0"/>
        <v>0</v>
      </c>
      <c r="AF48" s="17">
        <f t="shared" si="1"/>
        <v>15000</v>
      </c>
      <c r="AG48" s="17">
        <f>SUMIF(税后扣款!B:B,C48,税后扣款!E:E)</f>
        <v>0</v>
      </c>
      <c r="AH48" s="17">
        <f>SUMIF(房租水电!A:A,C48,房租水电!C:C)</f>
        <v>0</v>
      </c>
      <c r="AI48" s="17">
        <f>SUMIF(房租水电!A:A,C48,房租水电!D:D)</f>
        <v>0</v>
      </c>
      <c r="AJ48" s="17">
        <f>SUMIF(税后扣款!B:B,C48,税后扣款!D:D)</f>
        <v>-160</v>
      </c>
      <c r="AK48" s="17">
        <f t="shared" si="2"/>
        <v>-160</v>
      </c>
      <c r="AL48" s="17">
        <f>SUMIF(社会保险!D:D,N48,社会保险!I:I)</f>
        <v>1200</v>
      </c>
      <c r="AM48" s="17">
        <f>SUMIF(社会保险!D:D,N48,社会保险!J:J)</f>
        <v>300</v>
      </c>
      <c r="AN48" s="17">
        <f>SUMIF(社会保险!D:D,N48,社会保险!K:K)</f>
        <v>30</v>
      </c>
      <c r="AO48" s="17">
        <f>SUMIF(公积金!C:C,N48,公积金!L:L)</f>
        <v>900</v>
      </c>
      <c r="AP48" s="17">
        <f>SUMIF(专项扣除!$B:$B,$C48,专项扣除!D:D)</f>
        <v>0</v>
      </c>
      <c r="AQ48" s="17">
        <f>SUMIF(专项扣除!$B:$B,$C48,专项扣除!E:E)</f>
        <v>0</v>
      </c>
      <c r="AR48" s="17">
        <f>SUMIF(专项扣除!$B:$B,$C48,专项扣除!F:F)</f>
        <v>0</v>
      </c>
      <c r="AS48" s="17">
        <f>SUMIF(专项扣除!$B:$B,$C48,专项扣除!G:G)</f>
        <v>0</v>
      </c>
      <c r="AT48" s="17">
        <f>SUMIF(专项扣除!$B:$B,$C48,专项扣除!H:H)</f>
        <v>0</v>
      </c>
      <c r="AU48" s="17">
        <f>SUMIF(专项扣除!$B:$B,$C48,专项扣除!I:I)</f>
        <v>0</v>
      </c>
      <c r="AV48" s="17">
        <f>SUMIF(专项扣除!$B:$B,$C48,专项扣除!J:J)</f>
        <v>0</v>
      </c>
      <c r="AW48" s="17">
        <v>5000</v>
      </c>
      <c r="AX48" s="17">
        <f t="shared" si="3"/>
        <v>7430</v>
      </c>
      <c r="AY48" s="17">
        <f>SUMIF(上月累计工资累计社保和公积金!C:C,C48,上月累计工资累计社保和公积金!E:E)</f>
        <v>46089.66</v>
      </c>
      <c r="AZ48" s="17">
        <f t="shared" si="4"/>
        <v>61089.66</v>
      </c>
      <c r="BA48" s="17">
        <f>SUMIF(上月累计工资累计社保和公积金!C:C,C48,上月累计工资累计社保和公积金!K:K)</f>
        <v>27290</v>
      </c>
      <c r="BB48" s="17">
        <f t="shared" si="5"/>
        <v>34720</v>
      </c>
      <c r="BC48" s="17">
        <f>ROUND(MAX((AZ48-BB48-AP48-AQ48-AR48-AS48-AT48-AU48-AV48)*0.01*{3,10,20,25,30,35,45}-{0,2520,16920,31920,52920,85920,181920},0),2)</f>
        <v>791.09</v>
      </c>
      <c r="BD48" s="17">
        <f>SUMIF(上月累计工资累计社保和公积金!C:C,C48,上月累计工资累计社保和公积金!L:L)</f>
        <v>563.99</v>
      </c>
      <c r="BE48" s="17">
        <f t="shared" si="6"/>
        <v>227.1</v>
      </c>
      <c r="BF48" s="17">
        <f t="shared" si="7"/>
        <v>12502.9</v>
      </c>
      <c r="BG48" s="231"/>
      <c r="BH48" s="232" t="str">
        <f>VLOOKUP(C48,考勤!C:AL,36,0)</f>
        <v>tanya@youdoogo.com</v>
      </c>
      <c r="BI48" s="233">
        <f t="shared" si="8"/>
        <v>0</v>
      </c>
      <c r="BJ48" s="236"/>
      <c r="BK48" s="235"/>
      <c r="BL48" s="235"/>
      <c r="BM48" s="235"/>
      <c r="BN48" s="235"/>
    </row>
    <row r="49" s="202" customFormat="1" ht="15.75" customHeight="1" spans="1:66">
      <c r="A49" s="224">
        <f t="shared" si="9"/>
        <v>47</v>
      </c>
      <c r="B49" s="225" t="s">
        <v>101</v>
      </c>
      <c r="C49" s="225" t="s">
        <v>326</v>
      </c>
      <c r="D49" s="226" t="s">
        <v>327</v>
      </c>
      <c r="E49" s="226" t="s">
        <v>312</v>
      </c>
      <c r="F49" s="226" t="s">
        <v>101</v>
      </c>
      <c r="G49" s="226" t="s">
        <v>65</v>
      </c>
      <c r="H49" s="228">
        <v>46115</v>
      </c>
      <c r="I49" s="229"/>
      <c r="J49" s="230" t="s">
        <v>36</v>
      </c>
      <c r="K49" s="226" t="s">
        <v>328</v>
      </c>
      <c r="L49" s="227">
        <v>1</v>
      </c>
      <c r="M49" s="226" t="s">
        <v>36</v>
      </c>
      <c r="N49" s="226" t="s">
        <v>329</v>
      </c>
      <c r="O49" s="226" t="s">
        <v>330</v>
      </c>
      <c r="P49" s="17">
        <v>4000</v>
      </c>
      <c r="Q49" s="17">
        <f>ROUND(SUMIF(其他补发!B:B,$C49,其他补发!D:D),2)</f>
        <v>0</v>
      </c>
      <c r="R49" s="17">
        <f>ROUND(SUMIF(其他补发!B:B,$C49,其他补发!H:H),2)</f>
        <v>0</v>
      </c>
      <c r="S49" s="17">
        <f>ROUND(SUMIF(其他补发!B:B,$C49,其他补发!I:I),2)</f>
        <v>0</v>
      </c>
      <c r="T49" s="17">
        <f>ROUND(SUMIF(其他补发!B:B,$C49,其他补发!E:E),2)</f>
        <v>0</v>
      </c>
      <c r="U49" s="17">
        <f>ROUND((VLOOKUP(C49,考勤!C:H,6,0)+VLOOKUP(C49,考勤!C:O,13,0)+VLOOKUP(C49,考勤!C:P,14,0)*0.3+VLOOKUP(C49,考勤!C:AA,25,0))*(P49+Q49+R49)/21.75,2)+ROUND((VLOOKUP(C49,考勤!C:V,19,0)+VLOOKUP(C49,考勤!C:V,20,0))*(P49+Q49+R49-2520)/21.75,2)</f>
        <v>735.63</v>
      </c>
      <c r="V49" s="17">
        <f>ROUND(SUMIF(动态表!C:C,C49,动态表!AA:AA)+SUMIFS(其他补发!L:L,其他补发!B:B,C49),2)</f>
        <v>0</v>
      </c>
      <c r="W49" s="17">
        <f>ROUND(VLOOKUP(C49,考勤!C:K,9,0)*P49/21.75/8*2+VLOOKUP(C49,考勤!C:L,10,0)*P49/21.75/8*3,2)+SUMIFS(加班费!$H:$H,加班费!$D:$D,$C49)</f>
        <v>0</v>
      </c>
      <c r="X49" s="17">
        <f>SUMIF(奖金!D:D,C49,奖金!F:F)</f>
        <v>0</v>
      </c>
      <c r="Y49" s="17">
        <f>SUMIF(其他补发!B:B,C49,其他补发!J:J)</f>
        <v>0</v>
      </c>
      <c r="Z49" s="17">
        <f>SUMIF(其他补发!B:B,C49,其他补发!F:F)</f>
        <v>0</v>
      </c>
      <c r="AA49" s="17">
        <f>SUMIF(其他补发!B:B,C49,其他补发!G:G)</f>
        <v>0</v>
      </c>
      <c r="AB49" s="17">
        <f>SUMIF(其他补发!B:B,C49,其他补发!M:M)</f>
        <v>0</v>
      </c>
      <c r="AC49" s="17">
        <f>SUMIF(其他补发!B:B,C49,其他补发!N:N)</f>
        <v>0</v>
      </c>
      <c r="AD49" s="17">
        <f>SUMIF(其他补发!B:B,C49,其他补发!K:K)</f>
        <v>0</v>
      </c>
      <c r="AE49" s="17">
        <f t="shared" si="0"/>
        <v>0</v>
      </c>
      <c r="AF49" s="17">
        <f t="shared" si="1"/>
        <v>3264.37</v>
      </c>
      <c r="AG49" s="17">
        <f>SUMIF(税后扣款!B:B,C49,税后扣款!E:E)</f>
        <v>0</v>
      </c>
      <c r="AH49" s="17">
        <f>SUMIF(房租水电!A:A,C49,房租水电!C:C)</f>
        <v>0</v>
      </c>
      <c r="AI49" s="17">
        <f>SUMIF(房租水电!A:A,C49,房租水电!D:D)</f>
        <v>0</v>
      </c>
      <c r="AJ49" s="17">
        <f>SUMIF(税后扣款!B:B,C49,税后扣款!D:D)</f>
        <v>0</v>
      </c>
      <c r="AK49" s="17">
        <f t="shared" si="2"/>
        <v>0</v>
      </c>
      <c r="AL49" s="17">
        <f>SUMIF(社会保险!D:D,N49,社会保险!I:I)</f>
        <v>0</v>
      </c>
      <c r="AM49" s="17">
        <f>SUMIF(社会保险!D:D,N49,社会保险!J:J)</f>
        <v>0</v>
      </c>
      <c r="AN49" s="17">
        <f>SUMIF(社会保险!D:D,N49,社会保险!K:K)</f>
        <v>0</v>
      </c>
      <c r="AO49" s="17">
        <f>SUMIF(公积金!C:C,N49,公积金!L:L)</f>
        <v>0</v>
      </c>
      <c r="AP49" s="17">
        <f>SUMIF(专项扣除!$B:$B,$C49,专项扣除!D:D)</f>
        <v>0</v>
      </c>
      <c r="AQ49" s="17">
        <f>SUMIF(专项扣除!$B:$B,$C49,专项扣除!E:E)</f>
        <v>0</v>
      </c>
      <c r="AR49" s="17">
        <f>SUMIF(专项扣除!$B:$B,$C49,专项扣除!F:F)</f>
        <v>0</v>
      </c>
      <c r="AS49" s="17">
        <f>SUMIF(专项扣除!$B:$B,$C49,专项扣除!G:G)</f>
        <v>0</v>
      </c>
      <c r="AT49" s="17">
        <f>SUMIF(专项扣除!$B:$B,$C49,专项扣除!H:H)</f>
        <v>0</v>
      </c>
      <c r="AU49" s="17">
        <f>SUMIF(专项扣除!$B:$B,$C49,专项扣除!I:I)</f>
        <v>0</v>
      </c>
      <c r="AV49" s="17">
        <f>SUMIF(专项扣除!$B:$B,$C49,专项扣除!J:J)</f>
        <v>0</v>
      </c>
      <c r="AW49" s="17">
        <v>5000</v>
      </c>
      <c r="AX49" s="17">
        <f t="shared" si="3"/>
        <v>5000</v>
      </c>
      <c r="AY49" s="17">
        <f>SUMIF(上月累计工资累计社保和公积金!C:C,C49,上月累计工资累计社保和公积金!E:E)</f>
        <v>11632.18</v>
      </c>
      <c r="AZ49" s="17">
        <f t="shared" si="4"/>
        <v>11917.24</v>
      </c>
      <c r="BA49" s="17">
        <f>SUMIF(上月累计工资累计社保和公积金!C:C,C49,上月累计工资累计社保和公积金!K:K)</f>
        <v>15000</v>
      </c>
      <c r="BB49" s="17">
        <f t="shared" si="5"/>
        <v>20000</v>
      </c>
      <c r="BC49" s="17">
        <f>ROUND(MAX((AZ49-BB49-AP49-AQ49-AR49-AS49-AT49-AU49-AV49)*0.01*{3,10,20,25,30,35,45}-{0,2520,16920,31920,52920,85920,181920},0),2)</f>
        <v>0</v>
      </c>
      <c r="BD49" s="17">
        <f>SUMIF(上月累计工资累计社保和公积金!C:C,C49,上月累计工资累计社保和公积金!L:L)</f>
        <v>0</v>
      </c>
      <c r="BE49" s="17">
        <f t="shared" si="6"/>
        <v>0</v>
      </c>
      <c r="BF49" s="17">
        <f t="shared" si="7"/>
        <v>3264.37</v>
      </c>
      <c r="BG49" s="231"/>
      <c r="BH49" s="232" t="str">
        <f>VLOOKUP(C49,考勤!C:AL,36,0)</f>
        <v>yoyo@youdoogo.com</v>
      </c>
      <c r="BI49" s="233">
        <f t="shared" si="8"/>
        <v>0</v>
      </c>
      <c r="BJ49" s="236"/>
      <c r="BK49" s="235"/>
      <c r="BL49" s="235"/>
      <c r="BM49" s="235"/>
      <c r="BN49" s="235"/>
    </row>
    <row r="50" s="202" customFormat="1" ht="15.75" customHeight="1" spans="1:66">
      <c r="A50" s="224">
        <f t="shared" si="9"/>
        <v>48</v>
      </c>
      <c r="B50" s="225" t="s">
        <v>101</v>
      </c>
      <c r="C50" s="225" t="s">
        <v>331</v>
      </c>
      <c r="D50" s="226" t="s">
        <v>332</v>
      </c>
      <c r="E50" s="226" t="s">
        <v>104</v>
      </c>
      <c r="F50" s="226" t="s">
        <v>101</v>
      </c>
      <c r="G50" s="226" t="s">
        <v>65</v>
      </c>
      <c r="H50" s="228">
        <v>46119</v>
      </c>
      <c r="I50" s="229"/>
      <c r="J50" s="230" t="s">
        <v>36</v>
      </c>
      <c r="K50" s="226" t="s">
        <v>333</v>
      </c>
      <c r="L50" s="227">
        <v>1</v>
      </c>
      <c r="M50" s="226" t="s">
        <v>36</v>
      </c>
      <c r="N50" s="226" t="s">
        <v>334</v>
      </c>
      <c r="O50" s="226" t="s">
        <v>335</v>
      </c>
      <c r="P50" s="17">
        <v>26000</v>
      </c>
      <c r="Q50" s="17">
        <f>ROUND(SUMIF(其他补发!B:B,$C50,其他补发!D:D),2)</f>
        <v>0</v>
      </c>
      <c r="R50" s="17">
        <f>ROUND(SUMIF(其他补发!B:B,$C50,其他补发!H:H),2)</f>
        <v>0</v>
      </c>
      <c r="S50" s="17">
        <f>ROUND(SUMIF(其他补发!B:B,$C50,其他补发!I:I),2)</f>
        <v>0</v>
      </c>
      <c r="T50" s="17">
        <f>ROUND(SUMIF(其他补发!B:B,$C50,其他补发!E:E),2)</f>
        <v>0</v>
      </c>
      <c r="U50" s="17">
        <f>ROUND((VLOOKUP(C50,考勤!C:H,6,0)+VLOOKUP(C50,考勤!C:O,13,0)+VLOOKUP(C50,考勤!C:P,14,0)*0.3+VLOOKUP(C50,考勤!C:AA,25,0))*(P50+Q50+R50)/21.75,2)+ROUND((VLOOKUP(C50,考勤!C:V,19,0)+VLOOKUP(C50,考勤!C:V,20,0))*(P50+Q50+R50-2520)/21.75,2)</f>
        <v>0</v>
      </c>
      <c r="V50" s="17">
        <f>ROUND(SUMIF(动态表!C:C,C50,动态表!AA:AA)+SUMIFS(其他补发!L:L,其他补发!B:B,C50),2)</f>
        <v>0</v>
      </c>
      <c r="W50" s="17">
        <f>ROUND(VLOOKUP(C50,考勤!C:K,9,0)*P50/21.75/8*2+VLOOKUP(C50,考勤!C:L,10,0)*P50/21.75/8*3,2)+SUMIFS(加班费!$H:$H,加班费!$D:$D,$C50)</f>
        <v>0</v>
      </c>
      <c r="X50" s="17">
        <f>SUMIF(奖金!D:D,C50,奖金!F:F)</f>
        <v>0</v>
      </c>
      <c r="Y50" s="17">
        <f>SUMIF(其他补发!B:B,C50,其他补发!J:J)</f>
        <v>0</v>
      </c>
      <c r="Z50" s="17">
        <f>SUMIF(其他补发!B:B,C50,其他补发!F:F)</f>
        <v>0</v>
      </c>
      <c r="AA50" s="17">
        <f>SUMIF(其他补发!B:B,C50,其他补发!G:G)</f>
        <v>0</v>
      </c>
      <c r="AB50" s="17">
        <f>SUMIF(其他补发!B:B,C50,其他补发!M:M)</f>
        <v>0</v>
      </c>
      <c r="AC50" s="17">
        <f>SUMIF(其他补发!B:B,C50,其他补发!N:N)</f>
        <v>0</v>
      </c>
      <c r="AD50" s="17">
        <f>SUMIF(其他补发!B:B,C50,其他补发!K:K)</f>
        <v>0</v>
      </c>
      <c r="AE50" s="17">
        <f t="shared" si="0"/>
        <v>0</v>
      </c>
      <c r="AF50" s="17">
        <f t="shared" si="1"/>
        <v>26000</v>
      </c>
      <c r="AG50" s="17">
        <f>SUMIF(税后扣款!B:B,C50,税后扣款!E:E)</f>
        <v>0</v>
      </c>
      <c r="AH50" s="17">
        <f>SUMIF(房租水电!A:A,C50,房租水电!C:C)</f>
        <v>0</v>
      </c>
      <c r="AI50" s="17">
        <f>SUMIF(房租水电!A:A,C50,房租水电!D:D)</f>
        <v>0</v>
      </c>
      <c r="AJ50" s="17">
        <f>SUMIF(税后扣款!B:B,C50,税后扣款!D:D)</f>
        <v>0</v>
      </c>
      <c r="AK50" s="17">
        <f t="shared" si="2"/>
        <v>0</v>
      </c>
      <c r="AL50" s="17">
        <f>SUMIF(社会保险!D:D,N50,社会保险!I:I)</f>
        <v>2080</v>
      </c>
      <c r="AM50" s="17">
        <f>SUMIF(社会保险!D:D,N50,社会保险!J:J)</f>
        <v>520</v>
      </c>
      <c r="AN50" s="17">
        <f>SUMIF(社会保险!D:D,N50,社会保险!K:K)</f>
        <v>52</v>
      </c>
      <c r="AO50" s="17">
        <f>SUMIF(公积金!C:C,N50,公积金!L:L)</f>
        <v>1560</v>
      </c>
      <c r="AP50" s="17">
        <f>SUMIF(专项扣除!$B:$B,$C50,专项扣除!D:D)</f>
        <v>0</v>
      </c>
      <c r="AQ50" s="17">
        <f>SUMIF(专项扣除!$B:$B,$C50,专项扣除!E:E)</f>
        <v>0</v>
      </c>
      <c r="AR50" s="17">
        <f>SUMIF(专项扣除!$B:$B,$C50,专项扣除!F:F)</f>
        <v>0</v>
      </c>
      <c r="AS50" s="17">
        <f>SUMIF(专项扣除!$B:$B,$C50,专项扣除!G:G)</f>
        <v>0</v>
      </c>
      <c r="AT50" s="17">
        <f>SUMIF(专项扣除!$B:$B,$C50,专项扣除!H:H)</f>
        <v>0</v>
      </c>
      <c r="AU50" s="17">
        <f>SUMIF(专项扣除!$B:$B,$C50,专项扣除!I:I)</f>
        <v>0</v>
      </c>
      <c r="AV50" s="17">
        <f>SUMIF(专项扣除!$B:$B,$C50,专项扣除!J:J)</f>
        <v>0</v>
      </c>
      <c r="AW50" s="17">
        <v>5000</v>
      </c>
      <c r="AX50" s="17">
        <f t="shared" si="3"/>
        <v>9212</v>
      </c>
      <c r="AY50" s="17">
        <f>SUMIF(上月累计工资累计社保和公积金!C:C,C50,上月累计工资累计社保和公积金!E:E)</f>
        <v>73418.39</v>
      </c>
      <c r="AZ50" s="17">
        <f t="shared" si="4"/>
        <v>99418.39</v>
      </c>
      <c r="BA50" s="17">
        <f>SUMIF(上月累计工资累计社保和公积金!C:C,C50,上月累计工资累计社保和公积金!K:K)</f>
        <v>27636</v>
      </c>
      <c r="BB50" s="17">
        <f t="shared" si="5"/>
        <v>36848</v>
      </c>
      <c r="BC50" s="17">
        <f>ROUND(MAX((AZ50-BB50-AP50-AQ50-AR50-AS50-AT50-AU50-AV50)*0.01*{3,10,20,25,30,35,45}-{0,2520,16920,31920,52920,85920,181920},0),2)</f>
        <v>3737.04</v>
      </c>
      <c r="BD50" s="17">
        <f>SUMIF(上月累计工资累计社保和公积金!C:C,C50,上月累计工资累计社保和公积金!L:L)</f>
        <v>2058.24</v>
      </c>
      <c r="BE50" s="17">
        <f t="shared" si="6"/>
        <v>1678.8</v>
      </c>
      <c r="BF50" s="17">
        <f t="shared" si="7"/>
        <v>20109.2</v>
      </c>
      <c r="BG50" s="231"/>
      <c r="BH50" s="232" t="str">
        <f>VLOOKUP(C50,考勤!C:AL,36,0)</f>
        <v>luocheng@youdoogo.com</v>
      </c>
      <c r="BI50" s="233">
        <f t="shared" si="8"/>
        <v>0</v>
      </c>
      <c r="BJ50" s="236"/>
      <c r="BK50" s="235"/>
      <c r="BL50" s="235"/>
      <c r="BM50" s="235"/>
      <c r="BN50" s="235"/>
    </row>
    <row r="51" s="202" customFormat="1" ht="15.75" customHeight="1" spans="1:66">
      <c r="A51" s="224">
        <f t="shared" si="9"/>
        <v>49</v>
      </c>
      <c r="B51" s="225" t="s">
        <v>101</v>
      </c>
      <c r="C51" s="225" t="s">
        <v>336</v>
      </c>
      <c r="D51" s="226" t="s">
        <v>337</v>
      </c>
      <c r="E51" s="226" t="s">
        <v>104</v>
      </c>
      <c r="F51" s="226" t="s">
        <v>101</v>
      </c>
      <c r="G51" s="226" t="s">
        <v>69</v>
      </c>
      <c r="H51" s="228">
        <v>46122</v>
      </c>
      <c r="I51" s="229"/>
      <c r="J51" s="230" t="s">
        <v>33</v>
      </c>
      <c r="K51" s="226" t="s">
        <v>338</v>
      </c>
      <c r="L51" s="227">
        <v>1</v>
      </c>
      <c r="M51" s="226" t="s">
        <v>33</v>
      </c>
      <c r="N51" s="226" t="s">
        <v>339</v>
      </c>
      <c r="O51" s="226" t="s">
        <v>340</v>
      </c>
      <c r="P51" s="17">
        <v>18000</v>
      </c>
      <c r="Q51" s="17">
        <f>ROUND(SUMIF(其他补发!B:B,$C51,其他补发!D:D),2)</f>
        <v>0</v>
      </c>
      <c r="R51" s="17">
        <f>ROUND(SUMIF(其他补发!B:B,$C51,其他补发!H:H),2)</f>
        <v>0</v>
      </c>
      <c r="S51" s="17">
        <f>ROUND(SUMIF(其他补发!B:B,$C51,其他补发!I:I),2)</f>
        <v>0</v>
      </c>
      <c r="T51" s="17">
        <f>ROUND(SUMIF(其他补发!B:B,$C51,其他补发!E:E),2)</f>
        <v>0</v>
      </c>
      <c r="U51" s="17">
        <f>ROUND((VLOOKUP(C51,考勤!C:H,6,0)+VLOOKUP(C51,考勤!C:O,13,0)+VLOOKUP(C51,考勤!C:P,14,0)*0.3+VLOOKUP(C51,考勤!C:AA,25,0))*(P51+Q51+R51)/21.75,2)+ROUND((VLOOKUP(C51,考勤!C:V,19,0)+VLOOKUP(C51,考勤!C:V,20,0))*(P51+Q51+R51-2520)/21.75,2)</f>
        <v>0</v>
      </c>
      <c r="V51" s="17">
        <f>ROUND(SUMIF(动态表!C:C,C51,动态表!AA:AA)+SUMIFS(其他补发!L:L,其他补发!B:B,C51),2)</f>
        <v>0</v>
      </c>
      <c r="W51" s="17">
        <f>ROUND(VLOOKUP(C51,考勤!C:K,9,0)*P51/21.75/8*2+VLOOKUP(C51,考勤!C:L,10,0)*P51/21.75/8*3,2)+SUMIFS(加班费!$H:$H,加班费!$D:$D,$C51)</f>
        <v>0</v>
      </c>
      <c r="X51" s="17">
        <f>SUMIF(奖金!D:D,C51,奖金!F:F)</f>
        <v>0</v>
      </c>
      <c r="Y51" s="17">
        <f>SUMIF(其他补发!B:B,C51,其他补发!J:J)</f>
        <v>0</v>
      </c>
      <c r="Z51" s="17">
        <f>SUMIF(其他补发!B:B,C51,其他补发!F:F)</f>
        <v>0</v>
      </c>
      <c r="AA51" s="17">
        <f>SUMIF(其他补发!B:B,C51,其他补发!G:G)</f>
        <v>0</v>
      </c>
      <c r="AB51" s="17">
        <f>SUMIF(其他补发!B:B,C51,其他补发!M:M)</f>
        <v>0</v>
      </c>
      <c r="AC51" s="17">
        <f>SUMIF(其他补发!B:B,C51,其他补发!N:N)</f>
        <v>0</v>
      </c>
      <c r="AD51" s="17">
        <f>SUMIF(其他补发!B:B,C51,其他补发!K:K)</f>
        <v>0</v>
      </c>
      <c r="AE51" s="17">
        <f t="shared" si="0"/>
        <v>0</v>
      </c>
      <c r="AF51" s="17">
        <f t="shared" si="1"/>
        <v>18000</v>
      </c>
      <c r="AG51" s="17">
        <f>SUMIF(税后扣款!B:B,C51,税后扣款!E:E)</f>
        <v>0</v>
      </c>
      <c r="AH51" s="17">
        <f>SUMIF(房租水电!A:A,C51,房租水电!C:C)</f>
        <v>0</v>
      </c>
      <c r="AI51" s="17">
        <f>SUMIF(房租水电!A:A,C51,房租水电!D:D)</f>
        <v>0</v>
      </c>
      <c r="AJ51" s="17">
        <f>SUMIF(税后扣款!B:B,C51,税后扣款!D:D)</f>
        <v>-160</v>
      </c>
      <c r="AK51" s="17">
        <f t="shared" si="2"/>
        <v>-160</v>
      </c>
      <c r="AL51" s="17">
        <f>SUMIF(社会保险!D:D,N51,社会保险!I:I)</f>
        <v>1440</v>
      </c>
      <c r="AM51" s="17">
        <f>SUMIF(社会保险!D:D,N51,社会保险!J:J)</f>
        <v>360</v>
      </c>
      <c r="AN51" s="17">
        <f>SUMIF(社会保险!D:D,N51,社会保险!K:K)</f>
        <v>36</v>
      </c>
      <c r="AO51" s="17">
        <f>SUMIF(公积金!C:C,N51,公积金!L:L)</f>
        <v>1080</v>
      </c>
      <c r="AP51" s="17">
        <f>SUMIF(专项扣除!$B:$B,$C51,专项扣除!D:D)</f>
        <v>0</v>
      </c>
      <c r="AQ51" s="17">
        <f>SUMIF(专项扣除!$B:$B,$C51,专项扣除!E:E)</f>
        <v>0</v>
      </c>
      <c r="AR51" s="17">
        <f>SUMIF(专项扣除!$B:$B,$C51,专项扣除!F:F)</f>
        <v>0</v>
      </c>
      <c r="AS51" s="17">
        <f>SUMIF(专项扣除!$B:$B,$C51,专项扣除!G:G)</f>
        <v>0</v>
      </c>
      <c r="AT51" s="17">
        <f>SUMIF(专项扣除!$B:$B,$C51,专项扣除!H:H)</f>
        <v>0</v>
      </c>
      <c r="AU51" s="17">
        <f>SUMIF(专项扣除!$B:$B,$C51,专项扣除!I:I)</f>
        <v>0</v>
      </c>
      <c r="AV51" s="17">
        <f>SUMIF(专项扣除!$B:$B,$C51,专项扣除!J:J)</f>
        <v>0</v>
      </c>
      <c r="AW51" s="17">
        <v>5000</v>
      </c>
      <c r="AX51" s="17">
        <f t="shared" si="3"/>
        <v>7916</v>
      </c>
      <c r="AY51" s="17">
        <f>SUMIF(上月累计工资累计社保和公积金!C:C,C51,上月累计工资累计社保和公积金!E:E)</f>
        <v>48606.9</v>
      </c>
      <c r="AZ51" s="17">
        <f t="shared" si="4"/>
        <v>66606.9</v>
      </c>
      <c r="BA51" s="17">
        <f>SUMIF(上月累计工资累计社保和公积金!C:C,C51,上月累计工资累计社保和公积金!K:K)</f>
        <v>23748</v>
      </c>
      <c r="BB51" s="17">
        <f t="shared" si="5"/>
        <v>31664</v>
      </c>
      <c r="BC51" s="17">
        <f>ROUND(MAX((AZ51-BB51-AP51-AQ51-AR51-AS51-AT51-AU51-AV51)*0.01*{3,10,20,25,30,35,45}-{0,2520,16920,31920,52920,85920,181920},0),2)</f>
        <v>1048.29</v>
      </c>
      <c r="BD51" s="17">
        <f>SUMIF(上月累计工资累计社保和公积金!C:C,C51,上月累计工资累计社保和公积金!L:L)</f>
        <v>745.77</v>
      </c>
      <c r="BE51" s="17">
        <f t="shared" si="6"/>
        <v>302.52</v>
      </c>
      <c r="BF51" s="17">
        <f t="shared" si="7"/>
        <v>14941.48</v>
      </c>
      <c r="BG51" s="231"/>
      <c r="BH51" s="232" t="str">
        <f>VLOOKUP(C51,考勤!C:AL,36,0)</f>
        <v>ruifeng@youdoogo.com</v>
      </c>
      <c r="BI51" s="233">
        <f t="shared" si="8"/>
        <v>0</v>
      </c>
      <c r="BJ51" s="236"/>
      <c r="BK51" s="235"/>
      <c r="BL51" s="235"/>
      <c r="BM51" s="235"/>
      <c r="BN51" s="235"/>
    </row>
    <row r="52" s="202" customFormat="1" ht="15.75" customHeight="1" spans="1:66">
      <c r="A52" s="224">
        <f t="shared" si="9"/>
        <v>50</v>
      </c>
      <c r="B52" s="225" t="s">
        <v>101</v>
      </c>
      <c r="C52" s="225" t="s">
        <v>341</v>
      </c>
      <c r="D52" s="226" t="s">
        <v>342</v>
      </c>
      <c r="E52" s="226" t="s">
        <v>104</v>
      </c>
      <c r="F52" s="226" t="s">
        <v>101</v>
      </c>
      <c r="G52" s="226" t="s">
        <v>65</v>
      </c>
      <c r="H52" s="228">
        <v>46126</v>
      </c>
      <c r="I52" s="229"/>
      <c r="J52" s="230" t="s">
        <v>36</v>
      </c>
      <c r="K52" s="226" t="s">
        <v>343</v>
      </c>
      <c r="L52" s="227">
        <v>1</v>
      </c>
      <c r="M52" s="226" t="s">
        <v>36</v>
      </c>
      <c r="N52" s="226" t="s">
        <v>344</v>
      </c>
      <c r="O52" s="226" t="s">
        <v>345</v>
      </c>
      <c r="P52" s="17">
        <v>35000</v>
      </c>
      <c r="Q52" s="17">
        <f>ROUND(SUMIF(其他补发!B:B,$C52,其他补发!D:D),2)</f>
        <v>0</v>
      </c>
      <c r="R52" s="17">
        <f>ROUND(SUMIF(其他补发!B:B,$C52,其他补发!H:H),2)</f>
        <v>0</v>
      </c>
      <c r="S52" s="17">
        <f>ROUND(SUMIF(其他补发!B:B,$C52,其他补发!I:I),2)</f>
        <v>0</v>
      </c>
      <c r="T52" s="17">
        <f>ROUND(SUMIF(其他补发!B:B,$C52,其他补发!E:E),2)</f>
        <v>0</v>
      </c>
      <c r="U52" s="17">
        <f>ROUND((VLOOKUP(C52,考勤!C:H,6,0)+VLOOKUP(C52,考勤!C:O,13,0)+VLOOKUP(C52,考勤!C:P,14,0)*0.3+VLOOKUP(C52,考勤!C:AA,25,0))*(P52+Q52+R52)/21.75,2)+ROUND((VLOOKUP(C52,考勤!C:V,19,0)+VLOOKUP(C52,考勤!C:V,20,0))*(P52+Q52+R52-2520)/21.75,2)</f>
        <v>0</v>
      </c>
      <c r="V52" s="17">
        <f>ROUND(SUMIF(动态表!C:C,C52,动态表!AA:AA)+SUMIFS(其他补发!L:L,其他补发!B:B,C52),2)</f>
        <v>0</v>
      </c>
      <c r="W52" s="17">
        <f>ROUND(VLOOKUP(C52,考勤!C:K,9,0)*P52/21.75/8*2+VLOOKUP(C52,考勤!C:L,10,0)*P52/21.75/8*3,2)+SUMIFS(加班费!$H:$H,加班费!$D:$D,$C52)</f>
        <v>0</v>
      </c>
      <c r="X52" s="17">
        <f>SUMIF(奖金!D:D,C52,奖金!F:F)</f>
        <v>0</v>
      </c>
      <c r="Y52" s="17">
        <f>SUMIF(其他补发!B:B,C52,其他补发!J:J)</f>
        <v>0</v>
      </c>
      <c r="Z52" s="17">
        <f>SUMIF(其他补发!B:B,C52,其他补发!F:F)</f>
        <v>0</v>
      </c>
      <c r="AA52" s="17">
        <f>SUMIF(其他补发!B:B,C52,其他补发!G:G)</f>
        <v>0</v>
      </c>
      <c r="AB52" s="17">
        <f>SUMIF(其他补发!B:B,C52,其他补发!M:M)</f>
        <v>0</v>
      </c>
      <c r="AC52" s="17">
        <f>SUMIF(其他补发!B:B,C52,其他补发!N:N)</f>
        <v>0</v>
      </c>
      <c r="AD52" s="17">
        <f>SUMIF(其他补发!B:B,C52,其他补发!K:K)</f>
        <v>0</v>
      </c>
      <c r="AE52" s="17">
        <f t="shared" si="0"/>
        <v>0</v>
      </c>
      <c r="AF52" s="17">
        <f t="shared" si="1"/>
        <v>35000</v>
      </c>
      <c r="AG52" s="17">
        <f>SUMIF(税后扣款!B:B,C52,税后扣款!E:E)</f>
        <v>0</v>
      </c>
      <c r="AH52" s="17">
        <f>SUMIF(房租水电!A:A,C52,房租水电!C:C)</f>
        <v>0</v>
      </c>
      <c r="AI52" s="17">
        <f>SUMIF(房租水电!A:A,C52,房租水电!D:D)</f>
        <v>0</v>
      </c>
      <c r="AJ52" s="17">
        <f>SUMIF(税后扣款!B:B,C52,税后扣款!D:D)</f>
        <v>0</v>
      </c>
      <c r="AK52" s="17">
        <f t="shared" si="2"/>
        <v>0</v>
      </c>
      <c r="AL52" s="17">
        <f>SUMIF(社会保险!D:D,N52,社会保险!I:I)</f>
        <v>2203.92</v>
      </c>
      <c r="AM52" s="17">
        <f>SUMIF(社会保险!D:D,N52,社会保险!J:J)</f>
        <v>672.66</v>
      </c>
      <c r="AN52" s="17">
        <f>SUMIF(社会保险!D:D,N52,社会保险!K:K)</f>
        <v>70</v>
      </c>
      <c r="AO52" s="17">
        <f>SUMIF(公积金!C:C,N52,公积金!L:L)</f>
        <v>4200</v>
      </c>
      <c r="AP52" s="17">
        <f>SUMIF(专项扣除!$B:$B,$C52,专项扣除!D:D)</f>
        <v>0</v>
      </c>
      <c r="AQ52" s="17">
        <f>SUMIF(专项扣除!$B:$B,$C52,专项扣除!E:E)</f>
        <v>0</v>
      </c>
      <c r="AR52" s="17">
        <f>SUMIF(专项扣除!$B:$B,$C52,专项扣除!F:F)</f>
        <v>0</v>
      </c>
      <c r="AS52" s="17">
        <f>SUMIF(专项扣除!$B:$B,$C52,专项扣除!G:G)</f>
        <v>0</v>
      </c>
      <c r="AT52" s="17">
        <f>SUMIF(专项扣除!$B:$B,$C52,专项扣除!H:H)</f>
        <v>4500</v>
      </c>
      <c r="AU52" s="17">
        <f>SUMIF(专项扣除!$B:$B,$C52,专项扣除!I:I)</f>
        <v>0</v>
      </c>
      <c r="AV52" s="17">
        <f>SUMIF(专项扣除!$B:$B,$C52,专项扣除!J:J)</f>
        <v>0</v>
      </c>
      <c r="AW52" s="17">
        <v>5000</v>
      </c>
      <c r="AX52" s="17">
        <f t="shared" si="3"/>
        <v>12146.58</v>
      </c>
      <c r="AY52" s="17">
        <f>SUMIF(上月累计工资累计社保和公积金!C:C,C52,上月累计工资累计社保和公积金!E:E)</f>
        <v>90917.24</v>
      </c>
      <c r="AZ52" s="17">
        <f t="shared" si="4"/>
        <v>125917.24</v>
      </c>
      <c r="BA52" s="17">
        <f>SUMIF(上月累计工资累计社保和公积金!C:C,C52,上月累计工资累计社保和公积金!K:K)</f>
        <v>30139.74</v>
      </c>
      <c r="BB52" s="17">
        <f t="shared" si="5"/>
        <v>42286.32</v>
      </c>
      <c r="BC52" s="17">
        <f>ROUND(MAX((AZ52-BB52-AP52-AQ52-AR52-AS52-AT52-AU52-AV52)*0.01*{3,10,20,25,30,35,45}-{0,2520,16920,31920,52920,85920,181920},0),2)</f>
        <v>5393.09</v>
      </c>
      <c r="BD52" s="17">
        <f>SUMIF(上月累计工资累计社保和公积金!C:C,C52,上月累计工资累计社保和公积金!L:L)</f>
        <v>3107.75</v>
      </c>
      <c r="BE52" s="17">
        <f t="shared" si="6"/>
        <v>2285.34</v>
      </c>
      <c r="BF52" s="17">
        <f t="shared" si="7"/>
        <v>25568.08</v>
      </c>
      <c r="BG52" s="231"/>
      <c r="BH52" s="232" t="str">
        <f>VLOOKUP(C52,考勤!C:AL,36,0)</f>
        <v>sam@youdoogo.com</v>
      </c>
      <c r="BI52" s="233">
        <f t="shared" si="8"/>
        <v>0</v>
      </c>
      <c r="BJ52" s="236"/>
      <c r="BK52" s="235"/>
      <c r="BL52" s="235"/>
      <c r="BM52" s="235"/>
      <c r="BN52" s="235"/>
    </row>
    <row r="53" s="202" customFormat="1" ht="15.75" customHeight="1" spans="1:66">
      <c r="A53" s="224">
        <f t="shared" si="9"/>
        <v>51</v>
      </c>
      <c r="B53" s="225" t="s">
        <v>101</v>
      </c>
      <c r="C53" s="225" t="s">
        <v>346</v>
      </c>
      <c r="D53" s="226" t="s">
        <v>347</v>
      </c>
      <c r="E53" s="226" t="s">
        <v>104</v>
      </c>
      <c r="F53" s="226" t="s">
        <v>101</v>
      </c>
      <c r="G53" s="226" t="s">
        <v>67</v>
      </c>
      <c r="H53" s="228">
        <v>46134</v>
      </c>
      <c r="I53" s="229"/>
      <c r="J53" s="230" t="s">
        <v>36</v>
      </c>
      <c r="K53" s="226" t="s">
        <v>348</v>
      </c>
      <c r="L53" s="227">
        <v>1</v>
      </c>
      <c r="M53" s="226" t="s">
        <v>36</v>
      </c>
      <c r="N53" s="226" t="s">
        <v>349</v>
      </c>
      <c r="O53" s="226" t="s">
        <v>350</v>
      </c>
      <c r="P53" s="17">
        <v>20000</v>
      </c>
      <c r="Q53" s="17">
        <f>ROUND(SUMIF(其他补发!B:B,$C53,其他补发!D:D),2)</f>
        <v>0</v>
      </c>
      <c r="R53" s="17">
        <f>ROUND(SUMIF(其他补发!B:B,$C53,其他补发!H:H),2)</f>
        <v>0</v>
      </c>
      <c r="S53" s="17">
        <f>ROUND(SUMIF(其他补发!B:B,$C53,其他补发!I:I),2)</f>
        <v>0</v>
      </c>
      <c r="T53" s="17">
        <f>ROUND(SUMIF(其他补发!B:B,$C53,其他补发!E:E),2)</f>
        <v>0</v>
      </c>
      <c r="U53" s="17">
        <f>ROUND((VLOOKUP(C53,考勤!C:H,6,0)+VLOOKUP(C53,考勤!C:O,13,0)+VLOOKUP(C53,考勤!C:P,14,0)*0.3+VLOOKUP(C53,考勤!C:AA,25,0))*(P53+Q53+R53)/21.75,2)+ROUND((VLOOKUP(C53,考勤!C:V,19,0)+VLOOKUP(C53,考勤!C:V,20,0))*(P53+Q53+R53-2520)/21.75,2)</f>
        <v>0</v>
      </c>
      <c r="V53" s="17">
        <f>ROUND(SUMIF(动态表!C:C,C53,动态表!AA:AA)+SUMIFS(其他补发!L:L,其他补发!B:B,C53),2)</f>
        <v>0</v>
      </c>
      <c r="W53" s="17">
        <f>ROUND(VLOOKUP(C53,考勤!C:K,9,0)*P53/21.75/8*2+VLOOKUP(C53,考勤!C:L,10,0)*P53/21.75/8*3,2)+SUMIFS(加班费!$H:$H,加班费!$D:$D,$C53)</f>
        <v>0</v>
      </c>
      <c r="X53" s="17">
        <f>SUMIF(奖金!D:D,C53,奖金!F:F)</f>
        <v>0</v>
      </c>
      <c r="Y53" s="17">
        <f>SUMIF(其他补发!B:B,C53,其他补发!J:J)</f>
        <v>0</v>
      </c>
      <c r="Z53" s="17">
        <f>SUMIF(其他补发!B:B,C53,其他补发!F:F)</f>
        <v>0</v>
      </c>
      <c r="AA53" s="17">
        <f>SUMIF(其他补发!B:B,C53,其他补发!G:G)</f>
        <v>0</v>
      </c>
      <c r="AB53" s="17">
        <f>SUMIF(其他补发!B:B,C53,其他补发!M:M)</f>
        <v>0</v>
      </c>
      <c r="AC53" s="17">
        <f>SUMIF(其他补发!B:B,C53,其他补发!N:N)</f>
        <v>0</v>
      </c>
      <c r="AD53" s="17">
        <f>SUMIF(其他补发!B:B,C53,其他补发!K:K)</f>
        <v>0</v>
      </c>
      <c r="AE53" s="17">
        <f t="shared" si="0"/>
        <v>0</v>
      </c>
      <c r="AF53" s="17">
        <f t="shared" si="1"/>
        <v>20000</v>
      </c>
      <c r="AG53" s="17">
        <f>SUMIF(税后扣款!B:B,C53,税后扣款!E:E)</f>
        <v>0</v>
      </c>
      <c r="AH53" s="17">
        <f>SUMIF(房租水电!A:A,C53,房租水电!C:C)</f>
        <v>0</v>
      </c>
      <c r="AI53" s="17">
        <f>SUMIF(房租水电!A:A,C53,房租水电!D:D)</f>
        <v>0</v>
      </c>
      <c r="AJ53" s="17">
        <f>SUMIF(税后扣款!B:B,C53,税后扣款!D:D)</f>
        <v>-160</v>
      </c>
      <c r="AK53" s="17">
        <f t="shared" si="2"/>
        <v>-160</v>
      </c>
      <c r="AL53" s="17">
        <f>SUMIF(社会保险!D:D,N53,社会保险!I:I)</f>
        <v>1600</v>
      </c>
      <c r="AM53" s="17">
        <f>SUMIF(社会保险!D:D,N53,社会保险!J:J)</f>
        <v>400</v>
      </c>
      <c r="AN53" s="17">
        <f>SUMIF(社会保险!D:D,N53,社会保险!K:K)</f>
        <v>40</v>
      </c>
      <c r="AO53" s="17">
        <f>SUMIF(公积金!C:C,N53,公积金!L:L)</f>
        <v>1200</v>
      </c>
      <c r="AP53" s="17">
        <f>SUMIF(专项扣除!$B:$B,$C53,专项扣除!D:D)</f>
        <v>0</v>
      </c>
      <c r="AQ53" s="17">
        <f>SUMIF(专项扣除!$B:$B,$C53,专项扣除!E:E)</f>
        <v>0</v>
      </c>
      <c r="AR53" s="17">
        <f>SUMIF(专项扣除!$B:$B,$C53,专项扣除!F:F)</f>
        <v>0</v>
      </c>
      <c r="AS53" s="17">
        <f>SUMIF(专项扣除!$B:$B,$C53,专项扣除!G:G)</f>
        <v>0</v>
      </c>
      <c r="AT53" s="17">
        <f>SUMIF(专项扣除!$B:$B,$C53,专项扣除!H:H)</f>
        <v>0</v>
      </c>
      <c r="AU53" s="17">
        <f>SUMIF(专项扣除!$B:$B,$C53,专项扣除!I:I)</f>
        <v>0</v>
      </c>
      <c r="AV53" s="17">
        <f>SUMIF(专项扣除!$B:$B,$C53,专项扣除!J:J)</f>
        <v>0</v>
      </c>
      <c r="AW53" s="17">
        <v>5000</v>
      </c>
      <c r="AX53" s="17">
        <f t="shared" si="3"/>
        <v>8240</v>
      </c>
      <c r="AY53" s="17">
        <f>SUMIF(上月累计工资累计社保和公积金!C:C,C53,上月累计工资累计社保和公积金!E:E)</f>
        <v>46836.78</v>
      </c>
      <c r="AZ53" s="17">
        <f t="shared" si="4"/>
        <v>66836.78</v>
      </c>
      <c r="BA53" s="17">
        <f>SUMIF(上月累计工资累计社保和公积金!C:C,C53,上月累计工资累计社保和公积金!K:K)</f>
        <v>21480</v>
      </c>
      <c r="BB53" s="17">
        <f t="shared" si="5"/>
        <v>29720</v>
      </c>
      <c r="BC53" s="17">
        <f>ROUND(MAX((AZ53-BB53-AP53-AQ53-AR53-AS53-AT53-AU53-AV53)*0.01*{3,10,20,25,30,35,45}-{0,2520,16920,31920,52920,85920,181920},0),2)</f>
        <v>1191.68</v>
      </c>
      <c r="BD53" s="17">
        <f>SUMIF(上月累计工资累计社保和公积金!C:C,C53,上月累计工资累计社保和公积金!L:L)</f>
        <v>760.7</v>
      </c>
      <c r="BE53" s="17">
        <f t="shared" si="6"/>
        <v>430.98</v>
      </c>
      <c r="BF53" s="17">
        <f t="shared" si="7"/>
        <v>16489.02</v>
      </c>
      <c r="BG53" s="231"/>
      <c r="BH53" s="232" t="str">
        <f>VLOOKUP(C53,考勤!C:AL,36,0)</f>
        <v>ashur@youdoogo.com</v>
      </c>
      <c r="BI53" s="233">
        <f t="shared" si="8"/>
        <v>0</v>
      </c>
      <c r="BJ53" s="236"/>
      <c r="BK53" s="235"/>
      <c r="BL53" s="235"/>
      <c r="BM53" s="235"/>
      <c r="BN53" s="235"/>
    </row>
    <row r="54" s="202" customFormat="1" ht="15.75" customHeight="1" spans="1:66">
      <c r="A54" s="224">
        <f t="shared" si="9"/>
        <v>52</v>
      </c>
      <c r="B54" s="225" t="s">
        <v>101</v>
      </c>
      <c r="C54" s="225" t="s">
        <v>351</v>
      </c>
      <c r="D54" s="225" t="s">
        <v>352</v>
      </c>
      <c r="E54" s="226" t="s">
        <v>104</v>
      </c>
      <c r="F54" s="226" t="s">
        <v>101</v>
      </c>
      <c r="G54" s="226" t="s">
        <v>65</v>
      </c>
      <c r="H54" s="228">
        <v>46148</v>
      </c>
      <c r="I54" s="229"/>
      <c r="J54" s="237" t="s">
        <v>36</v>
      </c>
      <c r="K54" s="226" t="s">
        <v>353</v>
      </c>
      <c r="L54" s="227">
        <v>1</v>
      </c>
      <c r="M54" s="226" t="s">
        <v>36</v>
      </c>
      <c r="N54" s="226" t="s">
        <v>354</v>
      </c>
      <c r="O54" s="226" t="s">
        <v>355</v>
      </c>
      <c r="P54" s="17">
        <v>15000</v>
      </c>
      <c r="Q54" s="17">
        <f>ROUND(SUMIF(其他补发!B:B,$C54,其他补发!D:D),2)</f>
        <v>0</v>
      </c>
      <c r="R54" s="17">
        <f>ROUND(SUMIF(其他补发!B:B,$C54,其他补发!H:H),2)</f>
        <v>0</v>
      </c>
      <c r="S54" s="17">
        <f>ROUND(SUMIF(其他补发!B:B,$C54,其他补发!I:I),2)</f>
        <v>0</v>
      </c>
      <c r="T54" s="17">
        <f>ROUND(SUMIF(其他补发!B:B,$C54,其他补发!E:E),2)</f>
        <v>0</v>
      </c>
      <c r="U54" s="17">
        <f>ROUND((VLOOKUP(C54,考勤!C:H,6,0)+VLOOKUP(C54,考勤!C:O,13,0)+VLOOKUP(C54,考勤!C:P,14,0)*0.3+VLOOKUP(C54,考勤!C:AA,25,0))*(P54+Q54+R54)/21.75,2)+ROUND((VLOOKUP(C54,考勤!C:V,19,0)+VLOOKUP(C54,考勤!C:V,20,0))*(P54+Q54+R54-2520)/21.75,2)</f>
        <v>0</v>
      </c>
      <c r="V54" s="17">
        <f>ROUND(SUMIF(动态表!C:C,C54,动态表!AA:AA)+SUMIFS(其他补发!L:L,其他补发!B:B,C54),2)</f>
        <v>0</v>
      </c>
      <c r="W54" s="17">
        <f>ROUND(VLOOKUP(C54,考勤!C:K,9,0)*P54/21.75/8*2+VLOOKUP(C54,考勤!C:L,10,0)*P54/21.75/8*3,2)+SUMIFS(加班费!$H:$H,加班费!$D:$D,$C54)</f>
        <v>0</v>
      </c>
      <c r="X54" s="17">
        <f>SUMIF(奖金!D:D,C54,奖金!F:F)</f>
        <v>0</v>
      </c>
      <c r="Y54" s="17">
        <f>SUMIF(其他补发!B:B,C54,其他补发!J:J)</f>
        <v>0</v>
      </c>
      <c r="Z54" s="17">
        <f>SUMIF(其他补发!B:B,C54,其他补发!F:F)</f>
        <v>0</v>
      </c>
      <c r="AA54" s="17">
        <f>SUMIF(其他补发!B:B,C54,其他补发!G:G)</f>
        <v>0</v>
      </c>
      <c r="AB54" s="17">
        <f>SUMIF(其他补发!B:B,C54,其他补发!M:M)</f>
        <v>0</v>
      </c>
      <c r="AC54" s="17">
        <f>SUMIF(其他补发!B:B,C54,其他补发!N:N)</f>
        <v>0</v>
      </c>
      <c r="AD54" s="17">
        <f>SUMIF(其他补发!B:B,C54,其他补发!K:K)</f>
        <v>0</v>
      </c>
      <c r="AE54" s="17">
        <f t="shared" si="0"/>
        <v>0</v>
      </c>
      <c r="AF54" s="17">
        <f t="shared" si="1"/>
        <v>15000</v>
      </c>
      <c r="AG54" s="17">
        <f>SUMIF(税后扣款!B:B,C54,税后扣款!E:E)</f>
        <v>0</v>
      </c>
      <c r="AH54" s="17">
        <f>SUMIF(房租水电!A:A,C54,房租水电!C:C)</f>
        <v>0</v>
      </c>
      <c r="AI54" s="17">
        <f>SUMIF(房租水电!A:A,C54,房租水电!D:D)</f>
        <v>0</v>
      </c>
      <c r="AJ54" s="17">
        <f>SUMIF(税后扣款!B:B,C54,税后扣款!D:D)</f>
        <v>0</v>
      </c>
      <c r="AK54" s="17">
        <f t="shared" si="2"/>
        <v>0</v>
      </c>
      <c r="AL54" s="17">
        <f>SUMIF(社会保险!D:D,N54,社会保险!I:I)</f>
        <v>1200</v>
      </c>
      <c r="AM54" s="17">
        <f>SUMIF(社会保险!D:D,N54,社会保险!J:J)</f>
        <v>300</v>
      </c>
      <c r="AN54" s="17">
        <f>SUMIF(社会保险!D:D,N54,社会保险!K:K)</f>
        <v>30</v>
      </c>
      <c r="AO54" s="17">
        <f>SUMIF(公积金!C:C,N54,公积金!L:L)</f>
        <v>900</v>
      </c>
      <c r="AP54" s="17">
        <f>SUMIF(专项扣除!$B:$B,$C54,专项扣除!D:D)</f>
        <v>0</v>
      </c>
      <c r="AQ54" s="17">
        <f>SUMIF(专项扣除!$B:$B,$C54,专项扣除!E:E)</f>
        <v>0</v>
      </c>
      <c r="AR54" s="17">
        <f>SUMIF(专项扣除!$B:$B,$C54,专项扣除!F:F)</f>
        <v>0</v>
      </c>
      <c r="AS54" s="17">
        <f>SUMIF(专项扣除!$B:$B,$C54,专项扣除!G:G)</f>
        <v>0</v>
      </c>
      <c r="AT54" s="17">
        <f>SUMIF(专项扣除!$B:$B,$C54,专项扣除!H:H)</f>
        <v>0</v>
      </c>
      <c r="AU54" s="17">
        <f>SUMIF(专项扣除!$B:$B,$C54,专项扣除!I:I)</f>
        <v>0</v>
      </c>
      <c r="AV54" s="17">
        <f>SUMIF(专项扣除!$B:$B,$C54,专项扣除!J:J)</f>
        <v>0</v>
      </c>
      <c r="AW54" s="17">
        <v>5000</v>
      </c>
      <c r="AX54" s="17">
        <f t="shared" si="3"/>
        <v>7430</v>
      </c>
      <c r="AY54" s="17">
        <f>SUMIF(上月累计工资累计社保和公积金!C:C,C54,上月累计工资累计社保和公积金!E:E)</f>
        <v>27441.38</v>
      </c>
      <c r="AZ54" s="17">
        <f t="shared" si="4"/>
        <v>42441.38</v>
      </c>
      <c r="BA54" s="17">
        <f>SUMIF(上月累计工资累计社保和公积金!C:C,C54,上月累计工资累计社保和公积金!K:K)</f>
        <v>14860</v>
      </c>
      <c r="BB54" s="17">
        <f t="shared" si="5"/>
        <v>22290</v>
      </c>
      <c r="BC54" s="17">
        <f>ROUND(MAX((AZ54-BB54-AP54-AQ54-AR54-AS54-AT54-AU54-AV54)*0.01*{3,10,20,25,30,35,45}-{0,2520,16920,31920,52920,85920,181920},0),2)</f>
        <v>604.54</v>
      </c>
      <c r="BD54" s="17">
        <f>SUMIF(上月累计工资累计社保和公积金!C:C,C54,上月累计工资累计社保和公积金!L:L)</f>
        <v>377.44</v>
      </c>
      <c r="BE54" s="17">
        <f t="shared" si="6"/>
        <v>227.1</v>
      </c>
      <c r="BF54" s="17">
        <f t="shared" si="7"/>
        <v>12342.9</v>
      </c>
      <c r="BG54" s="231"/>
      <c r="BH54" s="232" t="str">
        <f>VLOOKUP(C54,考勤!C:AL,36,0)</f>
        <v>James@youdoogo.com</v>
      </c>
      <c r="BI54" s="233">
        <f t="shared" si="8"/>
        <v>0</v>
      </c>
      <c r="BJ54" s="236"/>
      <c r="BK54" s="235"/>
      <c r="BL54" s="235"/>
      <c r="BM54" s="235"/>
      <c r="BN54" s="235"/>
    </row>
    <row r="55" s="202" customFormat="1" ht="15.75" customHeight="1" spans="1:66">
      <c r="A55" s="224">
        <f t="shared" si="9"/>
        <v>53</v>
      </c>
      <c r="B55" s="225" t="s">
        <v>101</v>
      </c>
      <c r="C55" s="225" t="s">
        <v>356</v>
      </c>
      <c r="D55" s="225" t="s">
        <v>357</v>
      </c>
      <c r="E55" s="226" t="s">
        <v>104</v>
      </c>
      <c r="F55" s="226" t="s">
        <v>101</v>
      </c>
      <c r="G55" s="226" t="s">
        <v>69</v>
      </c>
      <c r="H55" s="228">
        <v>46148</v>
      </c>
      <c r="I55" s="229"/>
      <c r="J55" s="230" t="s">
        <v>33</v>
      </c>
      <c r="K55" s="226" t="s">
        <v>130</v>
      </c>
      <c r="L55" s="227">
        <v>1</v>
      </c>
      <c r="M55" s="226" t="s">
        <v>33</v>
      </c>
      <c r="N55" s="226" t="s">
        <v>358</v>
      </c>
      <c r="O55" s="226" t="s">
        <v>359</v>
      </c>
      <c r="P55" s="17">
        <v>19000</v>
      </c>
      <c r="Q55" s="17">
        <f>ROUND(SUMIF(其他补发!B:B,$C55,其他补发!D:D),2)</f>
        <v>0</v>
      </c>
      <c r="R55" s="17">
        <f>ROUND(SUMIF(其他补发!B:B,$C55,其他补发!H:H),2)</f>
        <v>0</v>
      </c>
      <c r="S55" s="17">
        <f>ROUND(SUMIF(其他补发!B:B,$C55,其他补发!I:I),2)</f>
        <v>0</v>
      </c>
      <c r="T55" s="17">
        <f>ROUND(SUMIF(其他补发!B:B,$C55,其他补发!E:E),2)</f>
        <v>0</v>
      </c>
      <c r="U55" s="17">
        <f>ROUND((VLOOKUP(C55,考勤!C:H,6,0)+VLOOKUP(C55,考勤!C:O,13,0)+VLOOKUP(C55,考勤!C:P,14,0)*0.3+VLOOKUP(C55,考勤!C:AA,25,0))*(P55+Q55+R55)/21.75,2)+ROUND((VLOOKUP(C55,考勤!C:V,19,0)+VLOOKUP(C55,考勤!C:V,20,0))*(P55+Q55+R55-2520)/21.75,2)</f>
        <v>0</v>
      </c>
      <c r="V55" s="17">
        <f>ROUND(SUMIF(动态表!C:C,C55,动态表!AA:AA)+SUMIFS(其他补发!L:L,其他补发!B:B,C55),2)</f>
        <v>0</v>
      </c>
      <c r="W55" s="17">
        <f>ROUND(VLOOKUP(C55,考勤!C:K,9,0)*P55/21.75/8*2+VLOOKUP(C55,考勤!C:L,10,0)*P55/21.75/8*3,2)+SUMIFS(加班费!$H:$H,加班费!$D:$D,$C55)</f>
        <v>0</v>
      </c>
      <c r="X55" s="17">
        <f>SUMIF(奖金!D:D,C55,奖金!F:F)</f>
        <v>0</v>
      </c>
      <c r="Y55" s="17">
        <f>SUMIF(其他补发!B:B,C55,其他补发!J:J)</f>
        <v>0</v>
      </c>
      <c r="Z55" s="17">
        <f>SUMIF(其他补发!B:B,C55,其他补发!F:F)</f>
        <v>0</v>
      </c>
      <c r="AA55" s="17">
        <f>SUMIF(其他补发!B:B,C55,其他补发!G:G)</f>
        <v>0</v>
      </c>
      <c r="AB55" s="17">
        <f>SUMIF(其他补发!B:B,C55,其他补发!M:M)</f>
        <v>0</v>
      </c>
      <c r="AC55" s="17">
        <f>SUMIF(其他补发!B:B,C55,其他补发!N:N)</f>
        <v>0</v>
      </c>
      <c r="AD55" s="17">
        <f>SUMIF(其他补发!B:B,C55,其他补发!K:K)</f>
        <v>0</v>
      </c>
      <c r="AE55" s="17">
        <f t="shared" si="0"/>
        <v>0</v>
      </c>
      <c r="AF55" s="17">
        <f t="shared" si="1"/>
        <v>19000</v>
      </c>
      <c r="AG55" s="17">
        <f>SUMIF(税后扣款!B:B,C55,税后扣款!E:E)</f>
        <v>0</v>
      </c>
      <c r="AH55" s="17">
        <f>SUMIF(房租水电!A:A,C55,房租水电!C:C)</f>
        <v>0</v>
      </c>
      <c r="AI55" s="17">
        <f>SUMIF(房租水电!A:A,C55,房租水电!D:D)</f>
        <v>0</v>
      </c>
      <c r="AJ55" s="17">
        <f>SUMIF(税后扣款!B:B,C55,税后扣款!D:D)</f>
        <v>0</v>
      </c>
      <c r="AK55" s="17">
        <f t="shared" si="2"/>
        <v>0</v>
      </c>
      <c r="AL55" s="17">
        <f>SUMIF(社会保险!D:D,N55,社会保险!I:I)</f>
        <v>1520</v>
      </c>
      <c r="AM55" s="17">
        <f>SUMIF(社会保险!D:D,N55,社会保险!J:J)</f>
        <v>380</v>
      </c>
      <c r="AN55" s="17">
        <f>SUMIF(社会保险!D:D,N55,社会保险!K:K)</f>
        <v>38</v>
      </c>
      <c r="AO55" s="17">
        <f>SUMIF(公积金!C:C,N55,公积金!L:L)</f>
        <v>2280</v>
      </c>
      <c r="AP55" s="17">
        <f>SUMIF(专项扣除!$B:$B,$C55,专项扣除!D:D)</f>
        <v>0</v>
      </c>
      <c r="AQ55" s="17">
        <f>SUMIF(专项扣除!$B:$B,$C55,专项扣除!E:E)</f>
        <v>0</v>
      </c>
      <c r="AR55" s="17">
        <f>SUMIF(专项扣除!$B:$B,$C55,专项扣除!F:F)</f>
        <v>0</v>
      </c>
      <c r="AS55" s="17">
        <f>SUMIF(专项扣除!$B:$B,$C55,专项扣除!G:G)</f>
        <v>0</v>
      </c>
      <c r="AT55" s="17">
        <f>SUMIF(专项扣除!$B:$B,$C55,专项扣除!H:H)</f>
        <v>0</v>
      </c>
      <c r="AU55" s="17">
        <f>SUMIF(专项扣除!$B:$B,$C55,专项扣除!I:I)</f>
        <v>0</v>
      </c>
      <c r="AV55" s="17">
        <f>SUMIF(专项扣除!$B:$B,$C55,专项扣除!J:J)</f>
        <v>0</v>
      </c>
      <c r="AW55" s="17">
        <v>5000</v>
      </c>
      <c r="AX55" s="17">
        <f t="shared" si="3"/>
        <v>9218</v>
      </c>
      <c r="AY55" s="17">
        <f>SUMIF(上月累计工资累计社保和公积金!C:C,C55,上月累计工资累计社保和公积金!E:E)</f>
        <v>35579.31</v>
      </c>
      <c r="AZ55" s="17">
        <f t="shared" si="4"/>
        <v>54579.31</v>
      </c>
      <c r="BA55" s="17">
        <f>SUMIF(上月累计工资累计社保和公积金!C:C,C55,上月累计工资累计社保和公积金!K:K)</f>
        <v>16156</v>
      </c>
      <c r="BB55" s="17">
        <f t="shared" si="5"/>
        <v>25374</v>
      </c>
      <c r="BC55" s="17">
        <f>ROUND(MAX((AZ55-BB55-AP55-AQ55-AR55-AS55-AT55-AU55-AV55)*0.01*{3,10,20,25,30,35,45}-{0,2520,16920,31920,52920,85920,181920},0),2)</f>
        <v>876.16</v>
      </c>
      <c r="BD55" s="17">
        <f>SUMIF(上月累计工资累计社保和公积金!C:C,C55,上月累计工资累计社保和公积金!L:L)</f>
        <v>582.7</v>
      </c>
      <c r="BE55" s="17">
        <f t="shared" si="6"/>
        <v>293.46</v>
      </c>
      <c r="BF55" s="17">
        <f t="shared" si="7"/>
        <v>14488.54</v>
      </c>
      <c r="BG55" s="231"/>
      <c r="BH55" s="232" t="str">
        <f>VLOOKUP(C55,考勤!C:AL,36,0)</f>
        <v>Agger@youdoogo.com</v>
      </c>
      <c r="BI55" s="233">
        <f t="shared" si="8"/>
        <v>0</v>
      </c>
      <c r="BJ55" s="236"/>
      <c r="BK55" s="235"/>
      <c r="BL55" s="235"/>
      <c r="BM55" s="235"/>
      <c r="BN55" s="235"/>
    </row>
    <row r="56" s="202" customFormat="1" ht="15.75" customHeight="1" spans="1:66">
      <c r="A56" s="224">
        <f t="shared" si="9"/>
        <v>54</v>
      </c>
      <c r="B56" s="225" t="s">
        <v>101</v>
      </c>
      <c r="C56" s="225" t="s">
        <v>360</v>
      </c>
      <c r="D56" s="225" t="s">
        <v>361</v>
      </c>
      <c r="E56" s="226" t="s">
        <v>104</v>
      </c>
      <c r="F56" s="226" t="s">
        <v>101</v>
      </c>
      <c r="G56" s="226" t="s">
        <v>69</v>
      </c>
      <c r="H56" s="228">
        <v>46161</v>
      </c>
      <c r="I56" s="229"/>
      <c r="J56" s="237" t="s">
        <v>36</v>
      </c>
      <c r="K56" s="226" t="s">
        <v>172</v>
      </c>
      <c r="L56" s="227">
        <v>1</v>
      </c>
      <c r="M56" s="226" t="s">
        <v>36</v>
      </c>
      <c r="N56" s="226" t="s">
        <v>362</v>
      </c>
      <c r="O56" s="226" t="s">
        <v>363</v>
      </c>
      <c r="P56" s="17">
        <v>30000</v>
      </c>
      <c r="Q56" s="17">
        <f>ROUND(SUMIF(其他补发!B:B,$C56,其他补发!D:D),2)</f>
        <v>0</v>
      </c>
      <c r="R56" s="17">
        <f>ROUND(SUMIF(其他补发!B:B,$C56,其他补发!H:H),2)</f>
        <v>0</v>
      </c>
      <c r="S56" s="17">
        <f>ROUND(SUMIF(其他补发!B:B,$C56,其他补发!I:I),2)</f>
        <v>0</v>
      </c>
      <c r="T56" s="17">
        <f>ROUND(SUMIF(其他补发!B:B,$C56,其他补发!E:E),2)</f>
        <v>0</v>
      </c>
      <c r="U56" s="17">
        <f>ROUND((VLOOKUP(C56,考勤!C:H,6,0)+VLOOKUP(C56,考勤!C:O,13,0)+VLOOKUP(C56,考勤!C:P,14,0)*0.3+VLOOKUP(C56,考勤!C:AA,25,0))*(P56+Q56+R56)/21.75,2)+ROUND((VLOOKUP(C56,考勤!C:V,19,0)+VLOOKUP(C56,考勤!C:V,20,0))*(P56+Q56+R56-2520)/21.75,2)</f>
        <v>0</v>
      </c>
      <c r="V56" s="17">
        <f>ROUND(SUMIF(动态表!C:C,C56,动态表!AA:AA)+SUMIFS(其他补发!L:L,其他补发!B:B,C56),2)</f>
        <v>0</v>
      </c>
      <c r="W56" s="17">
        <f>ROUND(VLOOKUP(C56,考勤!C:K,9,0)*P56/21.75/8*2+VLOOKUP(C56,考勤!C:L,10,0)*P56/21.75/8*3,2)+SUMIFS(加班费!$H:$H,加班费!$D:$D,$C56)</f>
        <v>0</v>
      </c>
      <c r="X56" s="17">
        <f>SUMIF(奖金!D:D,C56,奖金!F:F)</f>
        <v>0</v>
      </c>
      <c r="Y56" s="17">
        <f>SUMIF(其他补发!B:B,C56,其他补发!J:J)</f>
        <v>0</v>
      </c>
      <c r="Z56" s="17">
        <f>SUMIF(其他补发!B:B,C56,其他补发!F:F)</f>
        <v>0</v>
      </c>
      <c r="AA56" s="17">
        <f>SUMIF(其他补发!B:B,C56,其他补发!G:G)</f>
        <v>0</v>
      </c>
      <c r="AB56" s="17">
        <f>SUMIF(其他补发!B:B,C56,其他补发!M:M)</f>
        <v>0</v>
      </c>
      <c r="AC56" s="17">
        <f>SUMIF(其他补发!B:B,C56,其他补发!N:N)</f>
        <v>0</v>
      </c>
      <c r="AD56" s="17">
        <f>SUMIF(其他补发!B:B,C56,其他补发!K:K)</f>
        <v>0</v>
      </c>
      <c r="AE56" s="17">
        <f t="shared" si="0"/>
        <v>0</v>
      </c>
      <c r="AF56" s="17">
        <f t="shared" si="1"/>
        <v>30000</v>
      </c>
      <c r="AG56" s="17">
        <f>SUMIF(税后扣款!B:B,C56,税后扣款!E:E)</f>
        <v>0</v>
      </c>
      <c r="AH56" s="17">
        <f>SUMIF(房租水电!A:A,C56,房租水电!C:C)</f>
        <v>0</v>
      </c>
      <c r="AI56" s="17">
        <f>SUMIF(房租水电!A:A,C56,房租水电!D:D)</f>
        <v>0</v>
      </c>
      <c r="AJ56" s="17">
        <f>SUMIF(税后扣款!B:B,C56,税后扣款!D:D)</f>
        <v>-160</v>
      </c>
      <c r="AK56" s="17">
        <f t="shared" si="2"/>
        <v>-160</v>
      </c>
      <c r="AL56" s="17">
        <f>SUMIF(社会保险!D:D,N56,社会保险!I:I)</f>
        <v>2203.92</v>
      </c>
      <c r="AM56" s="17">
        <f>SUMIF(社会保险!D:D,N56,社会保险!J:J)</f>
        <v>600</v>
      </c>
      <c r="AN56" s="17">
        <f>SUMIF(社会保险!D:D,N56,社会保险!K:K)</f>
        <v>60</v>
      </c>
      <c r="AO56" s="17">
        <f>SUMIF(公积金!C:C,N56,公积金!L:L)</f>
        <v>1800</v>
      </c>
      <c r="AP56" s="17">
        <f>SUMIF(专项扣除!$B:$B,$C56,专项扣除!D:D)</f>
        <v>0</v>
      </c>
      <c r="AQ56" s="17">
        <f>SUMIF(专项扣除!$B:$B,$C56,专项扣除!E:E)</f>
        <v>0</v>
      </c>
      <c r="AR56" s="17">
        <f>SUMIF(专项扣除!$B:$B,$C56,专项扣除!F:F)</f>
        <v>0</v>
      </c>
      <c r="AS56" s="17">
        <f>SUMIF(专项扣除!$B:$B,$C56,专项扣除!G:G)</f>
        <v>0</v>
      </c>
      <c r="AT56" s="17">
        <f>SUMIF(专项扣除!$B:$B,$C56,专项扣除!H:H)</f>
        <v>0</v>
      </c>
      <c r="AU56" s="17">
        <f>SUMIF(专项扣除!$B:$B,$C56,专项扣除!I:I)</f>
        <v>0</v>
      </c>
      <c r="AV56" s="17">
        <f>SUMIF(专项扣除!$B:$B,$C56,专项扣除!J:J)</f>
        <v>0</v>
      </c>
      <c r="AW56" s="17">
        <v>5000</v>
      </c>
      <c r="AX56" s="17">
        <f t="shared" si="3"/>
        <v>9663.92</v>
      </c>
      <c r="AY56" s="17">
        <f>SUMIF(上月累计工资累计社保和公积金!C:C,C56,上月累计工资累计社保和公积金!E:E)</f>
        <v>42613.79</v>
      </c>
      <c r="AZ56" s="17">
        <f t="shared" si="4"/>
        <v>72613.79</v>
      </c>
      <c r="BA56" s="17">
        <f>SUMIF(上月累计工资累计社保和公积金!C:C,C56,上月累计工资累计社保和公积金!K:K)</f>
        <v>14663.92</v>
      </c>
      <c r="BB56" s="17">
        <f t="shared" si="5"/>
        <v>24327.84</v>
      </c>
      <c r="BC56" s="17">
        <f>ROUND(MAX((AZ56-BB56-AP56-AQ56-AR56-AS56-AT56-AU56-AV56)*0.01*{3,10,20,25,30,35,45}-{0,2520,16920,31920,52920,85920,181920},0),2)</f>
        <v>2308.6</v>
      </c>
      <c r="BD56" s="17">
        <f>SUMIF(上月累计工资累计社保和公积金!C:C,C56,上月累计工资累计社保和公积金!L:L)</f>
        <v>838.5</v>
      </c>
      <c r="BE56" s="17">
        <f t="shared" si="6"/>
        <v>1470.1</v>
      </c>
      <c r="BF56" s="17">
        <f t="shared" si="7"/>
        <v>24025.98</v>
      </c>
      <c r="BG56" s="231"/>
      <c r="BH56" s="232" t="str">
        <f>VLOOKUP(C56,考勤!C:AL,36,0)</f>
        <v>Editch@youdoogo.com</v>
      </c>
      <c r="BI56" s="233">
        <f t="shared" si="8"/>
        <v>0</v>
      </c>
      <c r="BJ56" s="236"/>
      <c r="BK56" s="235"/>
      <c r="BL56" s="235"/>
      <c r="BM56" s="235"/>
      <c r="BN56" s="235"/>
    </row>
    <row r="57" s="202" customFormat="1" ht="15.75" customHeight="1" spans="1:66">
      <c r="A57" s="224">
        <f t="shared" si="9"/>
        <v>55</v>
      </c>
      <c r="B57" s="225" t="s">
        <v>101</v>
      </c>
      <c r="C57" s="225" t="s">
        <v>364</v>
      </c>
      <c r="D57" s="225" t="s">
        <v>365</v>
      </c>
      <c r="E57" s="226" t="s">
        <v>104</v>
      </c>
      <c r="F57" s="226" t="s">
        <v>101</v>
      </c>
      <c r="G57" s="226" t="s">
        <v>67</v>
      </c>
      <c r="H57" s="228">
        <v>46161</v>
      </c>
      <c r="I57" s="229"/>
      <c r="J57" s="237" t="s">
        <v>36</v>
      </c>
      <c r="K57" s="226" t="s">
        <v>366</v>
      </c>
      <c r="L57" s="227">
        <v>1</v>
      </c>
      <c r="M57" s="226" t="s">
        <v>36</v>
      </c>
      <c r="N57" s="226" t="s">
        <v>367</v>
      </c>
      <c r="O57" s="226" t="s">
        <v>368</v>
      </c>
      <c r="P57" s="17">
        <v>20000</v>
      </c>
      <c r="Q57" s="17">
        <f>ROUND(SUMIF(其他补发!B:B,$C57,其他补发!D:D),2)</f>
        <v>0</v>
      </c>
      <c r="R57" s="17">
        <f>ROUND(SUMIF(其他补发!B:B,$C57,其他补发!H:H),2)</f>
        <v>0</v>
      </c>
      <c r="S57" s="17">
        <f>ROUND(SUMIF(其他补发!B:B,$C57,其他补发!I:I),2)</f>
        <v>0</v>
      </c>
      <c r="T57" s="17">
        <f>ROUND(SUMIF(其他补发!B:B,$C57,其他补发!E:E),2)</f>
        <v>0</v>
      </c>
      <c r="U57" s="17">
        <f>ROUND((VLOOKUP(C57,考勤!C:H,6,0)+VLOOKUP(C57,考勤!C:O,13,0)+VLOOKUP(C57,考勤!C:P,14,0)*0.3+VLOOKUP(C57,考勤!C:AA,25,0))*(P57+Q57+R57)/21.75,2)+ROUND((VLOOKUP(C57,考勤!C:V,19,0)+VLOOKUP(C57,考勤!C:V,20,0))*(P57+Q57+R57-2520)/21.75,2)</f>
        <v>0</v>
      </c>
      <c r="V57" s="17">
        <f>ROUND(SUMIF(动态表!C:C,C57,动态表!AA:AA)+SUMIFS(其他补发!L:L,其他补发!B:B,C57),2)</f>
        <v>0</v>
      </c>
      <c r="W57" s="17">
        <f>ROUND(VLOOKUP(C57,考勤!C:K,9,0)*P57/21.75/8*2+VLOOKUP(C57,考勤!C:L,10,0)*P57/21.75/8*3,2)+SUMIFS(加班费!$H:$H,加班费!$D:$D,$C57)</f>
        <v>0</v>
      </c>
      <c r="X57" s="17">
        <f>SUMIF(奖金!D:D,C57,奖金!F:F)</f>
        <v>0</v>
      </c>
      <c r="Y57" s="17">
        <f>SUMIF(其他补发!B:B,C57,其他补发!J:J)</f>
        <v>0</v>
      </c>
      <c r="Z57" s="17">
        <f>SUMIF(其他补发!B:B,C57,其他补发!F:F)</f>
        <v>0</v>
      </c>
      <c r="AA57" s="17">
        <f>SUMIF(其他补发!B:B,C57,其他补发!G:G)</f>
        <v>0</v>
      </c>
      <c r="AB57" s="17">
        <f>SUMIF(其他补发!B:B,C57,其他补发!M:M)</f>
        <v>0</v>
      </c>
      <c r="AC57" s="17">
        <f>SUMIF(其他补发!B:B,C57,其他补发!N:N)</f>
        <v>0</v>
      </c>
      <c r="AD57" s="17">
        <f>SUMIF(其他补发!B:B,C57,其他补发!K:K)</f>
        <v>200</v>
      </c>
      <c r="AE57" s="17">
        <f t="shared" si="0"/>
        <v>200</v>
      </c>
      <c r="AF57" s="17">
        <f t="shared" si="1"/>
        <v>20200</v>
      </c>
      <c r="AG57" s="17">
        <f>SUMIF(税后扣款!B:B,C57,税后扣款!E:E)</f>
        <v>0</v>
      </c>
      <c r="AH57" s="17">
        <f>SUMIF(房租水电!A:A,C57,房租水电!C:C)</f>
        <v>0</v>
      </c>
      <c r="AI57" s="17">
        <f>SUMIF(房租水电!A:A,C57,房租水电!D:D)</f>
        <v>0</v>
      </c>
      <c r="AJ57" s="17">
        <f>SUMIF(税后扣款!B:B,C57,税后扣款!D:D)</f>
        <v>40</v>
      </c>
      <c r="AK57" s="17">
        <f t="shared" si="2"/>
        <v>40</v>
      </c>
      <c r="AL57" s="17">
        <f>SUMIF(社会保险!D:D,N57,社会保险!I:I)</f>
        <v>1600</v>
      </c>
      <c r="AM57" s="17">
        <f>SUMIF(社会保险!D:D,N57,社会保险!J:J)</f>
        <v>400</v>
      </c>
      <c r="AN57" s="17">
        <f>SUMIF(社会保险!D:D,N57,社会保险!K:K)</f>
        <v>40</v>
      </c>
      <c r="AO57" s="17">
        <f>SUMIF(公积金!C:C,N57,公积金!L:L)</f>
        <v>1200</v>
      </c>
      <c r="AP57" s="17">
        <f>SUMIF(专项扣除!$B:$B,$C57,专项扣除!D:D)</f>
        <v>0</v>
      </c>
      <c r="AQ57" s="17">
        <f>SUMIF(专项扣除!$B:$B,$C57,专项扣除!E:E)</f>
        <v>0</v>
      </c>
      <c r="AR57" s="17">
        <f>SUMIF(专项扣除!$B:$B,$C57,专项扣除!F:F)</f>
        <v>0</v>
      </c>
      <c r="AS57" s="17">
        <f>SUMIF(专项扣除!$B:$B,$C57,专项扣除!G:G)</f>
        <v>0</v>
      </c>
      <c r="AT57" s="17">
        <f>SUMIF(专项扣除!$B:$B,$C57,专项扣除!H:H)</f>
        <v>0</v>
      </c>
      <c r="AU57" s="17">
        <f>SUMIF(专项扣除!$B:$B,$C57,专项扣除!I:I)</f>
        <v>0</v>
      </c>
      <c r="AV57" s="17">
        <f>SUMIF(专项扣除!$B:$B,$C57,专项扣除!J:J)</f>
        <v>0</v>
      </c>
      <c r="AW57" s="17">
        <v>5000</v>
      </c>
      <c r="AX57" s="17">
        <f t="shared" si="3"/>
        <v>8240</v>
      </c>
      <c r="AY57" s="17">
        <f>SUMIF(上月累计工资累计社保和公积金!C:C,C57,上月累计工资累计社保和公积金!E:E)</f>
        <v>28475.86</v>
      </c>
      <c r="AZ57" s="17">
        <f t="shared" si="4"/>
        <v>48675.86</v>
      </c>
      <c r="BA57" s="17">
        <f>SUMIF(上月累计工资累计社保和公积金!C:C,C57,上月累计工资累计社保和公积金!K:K)</f>
        <v>13240</v>
      </c>
      <c r="BB57" s="17">
        <f t="shared" si="5"/>
        <v>21480</v>
      </c>
      <c r="BC57" s="17">
        <f>ROUND(MAX((AZ57-BB57-AP57-AQ57-AR57-AS57-AT57-AU57-AV57)*0.01*{3,10,20,25,30,35,45}-{0,2520,16920,31920,52920,85920,181920},0),2)</f>
        <v>815.88</v>
      </c>
      <c r="BD57" s="17">
        <f>SUMIF(上月累计工资累计社保和公积金!C:C,C57,上月累计工资累计社保和公积金!L:L)</f>
        <v>457.08</v>
      </c>
      <c r="BE57" s="17">
        <f t="shared" si="6"/>
        <v>358.8</v>
      </c>
      <c r="BF57" s="17">
        <f t="shared" si="7"/>
        <v>16561.2</v>
      </c>
      <c r="BG57" s="231"/>
      <c r="BH57" s="232" t="str">
        <f>VLOOKUP(C57,考勤!C:AL,36,0)</f>
        <v>Vivian@youdoogo.com</v>
      </c>
      <c r="BI57" s="233">
        <f t="shared" si="8"/>
        <v>0</v>
      </c>
      <c r="BJ57" s="236"/>
      <c r="BK57" s="235"/>
      <c r="BL57" s="235"/>
      <c r="BM57" s="235"/>
      <c r="BN57" s="235"/>
    </row>
    <row r="58" s="202" customFormat="1" ht="15.75" customHeight="1" spans="1:66">
      <c r="A58" s="224">
        <f t="shared" si="9"/>
        <v>56</v>
      </c>
      <c r="B58" s="225" t="s">
        <v>101</v>
      </c>
      <c r="C58" s="225" t="s">
        <v>369</v>
      </c>
      <c r="D58" s="225" t="s">
        <v>370</v>
      </c>
      <c r="E58" s="226" t="s">
        <v>104</v>
      </c>
      <c r="F58" s="226" t="s">
        <v>101</v>
      </c>
      <c r="G58" s="226" t="s">
        <v>65</v>
      </c>
      <c r="H58" s="228">
        <v>46168</v>
      </c>
      <c r="I58" s="229"/>
      <c r="J58" s="237" t="s">
        <v>36</v>
      </c>
      <c r="K58" s="226" t="s">
        <v>371</v>
      </c>
      <c r="L58" s="227">
        <v>1</v>
      </c>
      <c r="M58" s="226" t="s">
        <v>36</v>
      </c>
      <c r="N58" s="226" t="s">
        <v>372</v>
      </c>
      <c r="O58" s="226" t="s">
        <v>373</v>
      </c>
      <c r="P58" s="17">
        <v>20000</v>
      </c>
      <c r="Q58" s="17">
        <f>ROUND(SUMIF(其他补发!B:B,$C58,其他补发!D:D),2)</f>
        <v>0</v>
      </c>
      <c r="R58" s="17">
        <f>ROUND(SUMIF(其他补发!B:B,$C58,其他补发!H:H),2)</f>
        <v>0</v>
      </c>
      <c r="S58" s="17">
        <f>ROUND(SUMIF(其他补发!B:B,$C58,其他补发!I:I),2)</f>
        <v>0</v>
      </c>
      <c r="T58" s="17">
        <f>ROUND(SUMIF(其他补发!B:B,$C58,其他补发!E:E),2)</f>
        <v>0</v>
      </c>
      <c r="U58" s="17">
        <f>ROUND((VLOOKUP(C58,考勤!C:H,6,0)+VLOOKUP(C58,考勤!C:O,13,0)+VLOOKUP(C58,考勤!C:P,14,0)*0.3+VLOOKUP(C58,考勤!C:AA,25,0))*(P58+Q58+R58)/21.75,2)+ROUND((VLOOKUP(C58,考勤!C:V,19,0)+VLOOKUP(C58,考勤!C:V,20,0))*(P58+Q58+R58-2520)/21.75,2)</f>
        <v>0</v>
      </c>
      <c r="V58" s="17">
        <f>ROUND(SUMIF(动态表!C:C,C58,动态表!AA:AA)+SUMIFS(其他补发!L:L,其他补发!B:B,C58),2)</f>
        <v>0</v>
      </c>
      <c r="W58" s="17">
        <f>ROUND(VLOOKUP(C58,考勤!C:K,9,0)*P58/21.75/8*2+VLOOKUP(C58,考勤!C:L,10,0)*P58/21.75/8*3,2)+SUMIFS(加班费!$H:$H,加班费!$D:$D,$C58)</f>
        <v>0</v>
      </c>
      <c r="X58" s="17">
        <f>SUMIF(奖金!D:D,C58,奖金!F:F)</f>
        <v>0</v>
      </c>
      <c r="Y58" s="17">
        <f>SUMIF(其他补发!B:B,C58,其他补发!J:J)</f>
        <v>0</v>
      </c>
      <c r="Z58" s="17">
        <f>SUMIF(其他补发!B:B,C58,其他补发!F:F)</f>
        <v>0</v>
      </c>
      <c r="AA58" s="17">
        <f>SUMIF(其他补发!B:B,C58,其他补发!G:G)</f>
        <v>0</v>
      </c>
      <c r="AB58" s="17">
        <f>SUMIF(其他补发!B:B,C58,其他补发!M:M)</f>
        <v>0</v>
      </c>
      <c r="AC58" s="17">
        <f>SUMIF(其他补发!B:B,C58,其他补发!N:N)</f>
        <v>0</v>
      </c>
      <c r="AD58" s="17">
        <f>SUMIF(其他补发!B:B,C58,其他补发!K:K)</f>
        <v>200</v>
      </c>
      <c r="AE58" s="17">
        <f t="shared" si="0"/>
        <v>200</v>
      </c>
      <c r="AF58" s="17">
        <f t="shared" si="1"/>
        <v>20200</v>
      </c>
      <c r="AG58" s="17">
        <f>SUMIF(税后扣款!B:B,C58,税后扣款!E:E)</f>
        <v>0</v>
      </c>
      <c r="AH58" s="17">
        <f>SUMIF(房租水电!A:A,C58,房租水电!C:C)</f>
        <v>0</v>
      </c>
      <c r="AI58" s="17">
        <f>SUMIF(房租水电!A:A,C58,房租水电!D:D)</f>
        <v>0</v>
      </c>
      <c r="AJ58" s="17">
        <f>SUMIF(税后扣款!B:B,C58,税后扣款!D:D)</f>
        <v>200</v>
      </c>
      <c r="AK58" s="17">
        <f t="shared" si="2"/>
        <v>200</v>
      </c>
      <c r="AL58" s="17">
        <f>SUMIF(社会保险!D:D,N58,社会保险!I:I)</f>
        <v>1600</v>
      </c>
      <c r="AM58" s="17">
        <f>SUMIF(社会保险!D:D,N58,社会保险!J:J)</f>
        <v>400</v>
      </c>
      <c r="AN58" s="17">
        <f>SUMIF(社会保险!D:D,N58,社会保险!K:K)</f>
        <v>40</v>
      </c>
      <c r="AO58" s="17">
        <f>SUMIF(公积金!C:C,N58,公积金!L:L)</f>
        <v>1200</v>
      </c>
      <c r="AP58" s="17">
        <f>SUMIF(专项扣除!$B:$B,$C58,专项扣除!D:D)</f>
        <v>0</v>
      </c>
      <c r="AQ58" s="17">
        <f>SUMIF(专项扣除!$B:$B,$C58,专项扣除!E:E)</f>
        <v>0</v>
      </c>
      <c r="AR58" s="17">
        <f>SUMIF(专项扣除!$B:$B,$C58,专项扣除!F:F)</f>
        <v>0</v>
      </c>
      <c r="AS58" s="17">
        <f>SUMIF(专项扣除!$B:$B,$C58,专项扣除!G:G)</f>
        <v>0</v>
      </c>
      <c r="AT58" s="17">
        <f>SUMIF(专项扣除!$B:$B,$C58,专项扣除!H:H)</f>
        <v>0</v>
      </c>
      <c r="AU58" s="17">
        <f>SUMIF(专项扣除!$B:$B,$C58,专项扣除!I:I)</f>
        <v>0</v>
      </c>
      <c r="AV58" s="17">
        <f>SUMIF(专项扣除!$B:$B,$C58,专项扣除!J:J)</f>
        <v>0</v>
      </c>
      <c r="AW58" s="17">
        <v>5000</v>
      </c>
      <c r="AX58" s="17">
        <f t="shared" si="3"/>
        <v>8240</v>
      </c>
      <c r="AY58" s="17">
        <f>SUMIF(上月累计工资累计社保和公积金!C:C,C58,上月累计工资累计社保和公积金!E:E)</f>
        <v>23878.16</v>
      </c>
      <c r="AZ58" s="17">
        <f t="shared" si="4"/>
        <v>44078.16</v>
      </c>
      <c r="BA58" s="17">
        <f>SUMIF(上月累计工资累计社保和公积金!C:C,C58,上月累计工资累计社保和公积金!K:K)</f>
        <v>13240</v>
      </c>
      <c r="BB58" s="17">
        <f t="shared" si="5"/>
        <v>21480</v>
      </c>
      <c r="BC58" s="17">
        <f>ROUND(MAX((AZ58-BB58-AP58-AQ58-AR58-AS58-AT58-AU58-AV58)*0.01*{3,10,20,25,30,35,45}-{0,2520,16920,31920,52920,85920,181920},0),2)</f>
        <v>677.94</v>
      </c>
      <c r="BD58" s="17">
        <f>SUMIF(上月累计工资累计社保和公积金!C:C,C58,上月累计工资累计社保和公积金!L:L)</f>
        <v>319.14</v>
      </c>
      <c r="BE58" s="17">
        <f t="shared" si="6"/>
        <v>358.8</v>
      </c>
      <c r="BF58" s="17">
        <f t="shared" si="7"/>
        <v>16401.2</v>
      </c>
      <c r="BG58" s="231"/>
      <c r="BH58" s="232" t="str">
        <f>VLOOKUP(C58,考勤!C:AL,36,0)</f>
        <v>rocchan@youdoogo.com</v>
      </c>
      <c r="BI58" s="233">
        <f t="shared" si="8"/>
        <v>0</v>
      </c>
      <c r="BJ58" s="236"/>
      <c r="BK58" s="235"/>
      <c r="BL58" s="235"/>
      <c r="BM58" s="235"/>
      <c r="BN58" s="235"/>
    </row>
    <row r="59" s="202" customFormat="1" ht="15.75" customHeight="1" spans="1:66">
      <c r="A59" s="224">
        <f t="shared" si="9"/>
        <v>57</v>
      </c>
      <c r="B59" s="225" t="s">
        <v>101</v>
      </c>
      <c r="C59" s="225" t="s">
        <v>374</v>
      </c>
      <c r="D59" s="225" t="s">
        <v>375</v>
      </c>
      <c r="E59" s="226" t="s">
        <v>104</v>
      </c>
      <c r="F59" s="226" t="s">
        <v>101</v>
      </c>
      <c r="G59" s="226" t="s">
        <v>65</v>
      </c>
      <c r="H59" s="228">
        <v>46170</v>
      </c>
      <c r="I59" s="229"/>
      <c r="J59" s="237" t="s">
        <v>36</v>
      </c>
      <c r="K59" s="226" t="s">
        <v>376</v>
      </c>
      <c r="L59" s="227">
        <v>1</v>
      </c>
      <c r="M59" s="226" t="s">
        <v>36</v>
      </c>
      <c r="N59" s="226" t="s">
        <v>377</v>
      </c>
      <c r="O59" s="226" t="s">
        <v>378</v>
      </c>
      <c r="P59" s="17">
        <v>10000</v>
      </c>
      <c r="Q59" s="17">
        <f>ROUND(SUMIF(其他补发!B:B,$C59,其他补发!D:D),2)</f>
        <v>0</v>
      </c>
      <c r="R59" s="17">
        <f>ROUND(SUMIF(其他补发!B:B,$C59,其他补发!H:H),2)</f>
        <v>0</v>
      </c>
      <c r="S59" s="17">
        <f>ROUND(SUMIF(其他补发!B:B,$C59,其他补发!I:I),2)</f>
        <v>0</v>
      </c>
      <c r="T59" s="17">
        <f>ROUND(SUMIF(其他补发!B:B,$C59,其他补发!E:E),2)</f>
        <v>0</v>
      </c>
      <c r="U59" s="17">
        <f>ROUND((VLOOKUP(C59,考勤!C:H,6,0)+VLOOKUP(C59,考勤!C:O,13,0)+VLOOKUP(C59,考勤!C:P,14,0)*0.3+VLOOKUP(C59,考勤!C:AA,25,0))*(P59+Q59+R59)/21.75,2)+ROUND((VLOOKUP(C59,考勤!C:V,19,0)+VLOOKUP(C59,考勤!C:V,20,0))*(P59+Q59+R59-2520)/21.75,2)</f>
        <v>0</v>
      </c>
      <c r="V59" s="17">
        <f>ROUND(SUMIF(动态表!C:C,C59,动态表!AA:AA)+SUMIFS(其他补发!L:L,其他补发!B:B,C59),2)</f>
        <v>0</v>
      </c>
      <c r="W59" s="17">
        <f>ROUND(VLOOKUP(C59,考勤!C:K,9,0)*P59/21.75/8*2+VLOOKUP(C59,考勤!C:L,10,0)*P59/21.75/8*3,2)+SUMIFS(加班费!$H:$H,加班费!$D:$D,$C59)</f>
        <v>0</v>
      </c>
      <c r="X59" s="17">
        <f>SUMIF(奖金!D:D,C59,奖金!F:F)</f>
        <v>0</v>
      </c>
      <c r="Y59" s="17">
        <f>SUMIF(其他补发!B:B,C59,其他补发!J:J)</f>
        <v>0</v>
      </c>
      <c r="Z59" s="17">
        <f>SUMIF(其他补发!B:B,C59,其他补发!F:F)</f>
        <v>0</v>
      </c>
      <c r="AA59" s="17">
        <f>SUMIF(其他补发!B:B,C59,其他补发!G:G)</f>
        <v>0</v>
      </c>
      <c r="AB59" s="17">
        <f>SUMIF(其他补发!B:B,C59,其他补发!M:M)</f>
        <v>0</v>
      </c>
      <c r="AC59" s="17">
        <f>SUMIF(其他补发!B:B,C59,其他补发!N:N)</f>
        <v>0</v>
      </c>
      <c r="AD59" s="17">
        <f>SUMIF(其他补发!B:B,C59,其他补发!K:K)</f>
        <v>0</v>
      </c>
      <c r="AE59" s="17">
        <f t="shared" si="0"/>
        <v>0</v>
      </c>
      <c r="AF59" s="17">
        <f t="shared" si="1"/>
        <v>10000</v>
      </c>
      <c r="AG59" s="17">
        <f>SUMIF(税后扣款!B:B,C59,税后扣款!E:E)</f>
        <v>0</v>
      </c>
      <c r="AH59" s="17">
        <f>SUMIF(房租水电!A:A,C59,房租水电!C:C)</f>
        <v>0</v>
      </c>
      <c r="AI59" s="17">
        <f>SUMIF(房租水电!A:A,C59,房租水电!D:D)</f>
        <v>0</v>
      </c>
      <c r="AJ59" s="17">
        <f>SUMIF(税后扣款!B:B,C59,税后扣款!D:D)</f>
        <v>-160</v>
      </c>
      <c r="AK59" s="17">
        <f t="shared" si="2"/>
        <v>-160</v>
      </c>
      <c r="AL59" s="17">
        <f>SUMIF(社会保险!D:D,N59,社会保险!I:I)</f>
        <v>800</v>
      </c>
      <c r="AM59" s="17">
        <f>SUMIF(社会保险!D:D,N59,社会保险!J:J)</f>
        <v>200</v>
      </c>
      <c r="AN59" s="17">
        <f>SUMIF(社会保险!D:D,N59,社会保险!K:K)</f>
        <v>20</v>
      </c>
      <c r="AO59" s="17">
        <f>SUMIF(公积金!C:C,N59,公积金!L:L)</f>
        <v>1200</v>
      </c>
      <c r="AP59" s="17">
        <f>SUMIF(专项扣除!$B:$B,$C59,专项扣除!D:D)</f>
        <v>0</v>
      </c>
      <c r="AQ59" s="17">
        <f>SUMIF(专项扣除!$B:$B,$C59,专项扣除!E:E)</f>
        <v>0</v>
      </c>
      <c r="AR59" s="17">
        <f>SUMIF(专项扣除!$B:$B,$C59,专项扣除!F:F)</f>
        <v>0</v>
      </c>
      <c r="AS59" s="17">
        <f>SUMIF(专项扣除!$B:$B,$C59,专项扣除!G:G)</f>
        <v>0</v>
      </c>
      <c r="AT59" s="17">
        <f>SUMIF(专项扣除!$B:$B,$C59,专项扣除!H:H)</f>
        <v>0</v>
      </c>
      <c r="AU59" s="17">
        <f>SUMIF(专项扣除!$B:$B,$C59,专项扣除!I:I)</f>
        <v>0</v>
      </c>
      <c r="AV59" s="17">
        <f>SUMIF(专项扣除!$B:$B,$C59,专项扣除!J:J)</f>
        <v>0</v>
      </c>
      <c r="AW59" s="17">
        <v>5000</v>
      </c>
      <c r="AX59" s="17">
        <f t="shared" si="3"/>
        <v>7220</v>
      </c>
      <c r="AY59" s="17">
        <f>SUMIF(上月累计工资累计社保和公积金!C:C,C59,上月累计工资累计社保和公积金!E:E)</f>
        <v>11119.54</v>
      </c>
      <c r="AZ59" s="17">
        <f t="shared" si="4"/>
        <v>21119.54</v>
      </c>
      <c r="BA59" s="17">
        <f>SUMIF(上月累计工资累计社保和公积金!C:C,C59,上月累计工资累计社保和公积金!K:K)</f>
        <v>11620</v>
      </c>
      <c r="BB59" s="17">
        <f t="shared" si="5"/>
        <v>18840</v>
      </c>
      <c r="BC59" s="17">
        <f>ROUND(MAX((AZ59-BB59-AP59-AQ59-AR59-AS59-AT59-AU59-AV59)*0.01*{3,10,20,25,30,35,45}-{0,2520,16920,31920,52920,85920,181920},0),2)</f>
        <v>68.39</v>
      </c>
      <c r="BD59" s="17">
        <f>SUMIF(上月累计工资累计社保和公积金!C:C,C59,上月累计工资累计社保和公积金!L:L)</f>
        <v>0</v>
      </c>
      <c r="BE59" s="17">
        <f t="shared" si="6"/>
        <v>68.39</v>
      </c>
      <c r="BF59" s="17">
        <f t="shared" si="7"/>
        <v>7871.61</v>
      </c>
      <c r="BG59" s="231"/>
      <c r="BH59" s="232" t="str">
        <f>VLOOKUP(C59,考勤!C:AL,36,0)</f>
        <v>Herman@youdoogo.com</v>
      </c>
      <c r="BI59" s="233">
        <f t="shared" si="8"/>
        <v>0</v>
      </c>
      <c r="BJ59" s="236"/>
      <c r="BK59" s="235"/>
      <c r="BL59" s="235"/>
      <c r="BM59" s="235"/>
      <c r="BN59" s="235"/>
    </row>
    <row r="60" s="202" customFormat="1" ht="15.75" customHeight="1" spans="1:66">
      <c r="A60" s="224">
        <f t="shared" si="9"/>
        <v>58</v>
      </c>
      <c r="B60" s="225" t="s">
        <v>101</v>
      </c>
      <c r="C60" s="225" t="s">
        <v>379</v>
      </c>
      <c r="D60" s="225" t="s">
        <v>380</v>
      </c>
      <c r="E60" s="226" t="s">
        <v>104</v>
      </c>
      <c r="F60" s="226" t="s">
        <v>101</v>
      </c>
      <c r="G60" s="226" t="s">
        <v>69</v>
      </c>
      <c r="H60" s="228">
        <v>46170</v>
      </c>
      <c r="I60" s="229"/>
      <c r="J60" s="237" t="s">
        <v>36</v>
      </c>
      <c r="K60" s="226" t="s">
        <v>381</v>
      </c>
      <c r="L60" s="227">
        <v>1</v>
      </c>
      <c r="M60" s="226" t="s">
        <v>36</v>
      </c>
      <c r="N60" s="226" t="s">
        <v>382</v>
      </c>
      <c r="O60" s="238" t="s">
        <v>383</v>
      </c>
      <c r="P60" s="17">
        <v>13000</v>
      </c>
      <c r="Q60" s="17">
        <f>ROUND(SUMIF(其他补发!B:B,$C60,其他补发!D:D),2)</f>
        <v>0</v>
      </c>
      <c r="R60" s="17">
        <f>ROUND(SUMIF(其他补发!B:B,$C60,其他补发!H:H),2)</f>
        <v>0</v>
      </c>
      <c r="S60" s="17">
        <f>ROUND(SUMIF(其他补发!B:B,$C60,其他补发!I:I),2)</f>
        <v>0</v>
      </c>
      <c r="T60" s="17">
        <f>ROUND(SUMIF(其他补发!B:B,$C60,其他补发!E:E),2)</f>
        <v>0</v>
      </c>
      <c r="U60" s="17">
        <f>ROUND((VLOOKUP(C60,考勤!C:H,6,0)+VLOOKUP(C60,考勤!C:O,13,0)+VLOOKUP(C60,考勤!C:P,14,0)*0.3+VLOOKUP(C60,考勤!C:AA,25,0))*(P60+Q60+R60)/21.75,2)+ROUND((VLOOKUP(C60,考勤!C:V,19,0)+VLOOKUP(C60,考勤!C:V,20,0))*(P60+Q60+R60-2520)/21.75,2)</f>
        <v>0</v>
      </c>
      <c r="V60" s="17">
        <f>ROUND(SUMIF(动态表!C:C,C60,动态表!AA:AA)+SUMIFS(其他补发!L:L,其他补发!B:B,C60),2)</f>
        <v>0</v>
      </c>
      <c r="W60" s="17">
        <f>ROUND(VLOOKUP(C60,考勤!C:K,9,0)*P60/21.75/8*2+VLOOKUP(C60,考勤!C:L,10,0)*P60/21.75/8*3,2)+SUMIFS(加班费!$H:$H,加班费!$D:$D,$C60)</f>
        <v>0</v>
      </c>
      <c r="X60" s="17">
        <f>SUMIF(奖金!D:D,C60,奖金!F:F)</f>
        <v>0</v>
      </c>
      <c r="Y60" s="17">
        <f>SUMIF(其他补发!B:B,C60,其他补发!J:J)</f>
        <v>0</v>
      </c>
      <c r="Z60" s="17">
        <f>SUMIF(其他补发!B:B,C60,其他补发!F:F)</f>
        <v>0</v>
      </c>
      <c r="AA60" s="17">
        <f>SUMIF(其他补发!B:B,C60,其他补发!G:G)</f>
        <v>0</v>
      </c>
      <c r="AB60" s="17">
        <f>SUMIF(其他补发!B:B,C60,其他补发!M:M)</f>
        <v>0</v>
      </c>
      <c r="AC60" s="17">
        <f>SUMIF(其他补发!B:B,C60,其他补发!N:N)</f>
        <v>0</v>
      </c>
      <c r="AD60" s="17">
        <f>SUMIF(其他补发!B:B,C60,其他补发!K:K)</f>
        <v>0</v>
      </c>
      <c r="AE60" s="17">
        <f t="shared" si="0"/>
        <v>0</v>
      </c>
      <c r="AF60" s="17">
        <f t="shared" si="1"/>
        <v>13000</v>
      </c>
      <c r="AG60" s="17">
        <f>SUMIF(税后扣款!B:B,C60,税后扣款!E:E)</f>
        <v>0</v>
      </c>
      <c r="AH60" s="17">
        <f>SUMIF(房租水电!A:A,C60,房租水电!C:C)</f>
        <v>0</v>
      </c>
      <c r="AI60" s="17">
        <f>SUMIF(房租水电!A:A,C60,房租水电!D:D)</f>
        <v>0</v>
      </c>
      <c r="AJ60" s="17">
        <f>SUMIF(税后扣款!B:B,C60,税后扣款!D:D)</f>
        <v>-160</v>
      </c>
      <c r="AK60" s="17">
        <f t="shared" si="2"/>
        <v>-160</v>
      </c>
      <c r="AL60" s="17">
        <f>SUMIF(社会保险!D:D,N60,社会保险!I:I)</f>
        <v>1040</v>
      </c>
      <c r="AM60" s="17">
        <f>SUMIF(社会保险!D:D,N60,社会保险!J:J)</f>
        <v>260</v>
      </c>
      <c r="AN60" s="17">
        <f>SUMIF(社会保险!D:D,N60,社会保险!K:K)</f>
        <v>26</v>
      </c>
      <c r="AO60" s="17">
        <f>SUMIF(公积金!C:C,N60,公积金!L:L)</f>
        <v>780</v>
      </c>
      <c r="AP60" s="17">
        <f>SUMIF(专项扣除!$B:$B,$C60,专项扣除!D:D)</f>
        <v>0</v>
      </c>
      <c r="AQ60" s="17">
        <f>SUMIF(专项扣除!$B:$B,$C60,专项扣除!E:E)</f>
        <v>0</v>
      </c>
      <c r="AR60" s="17">
        <f>SUMIF(专项扣除!$B:$B,$C60,专项扣除!F:F)</f>
        <v>0</v>
      </c>
      <c r="AS60" s="17">
        <f>SUMIF(专项扣除!$B:$B,$C60,专项扣除!G:G)</f>
        <v>0</v>
      </c>
      <c r="AT60" s="17">
        <f>SUMIF(专项扣除!$B:$B,$C60,专项扣除!H:H)</f>
        <v>0</v>
      </c>
      <c r="AU60" s="17">
        <f>SUMIF(专项扣除!$B:$B,$C60,专项扣除!I:I)</f>
        <v>0</v>
      </c>
      <c r="AV60" s="17">
        <f>SUMIF(专项扣除!$B:$B,$C60,专项扣除!J:J)</f>
        <v>0</v>
      </c>
      <c r="AW60" s="17">
        <v>5000</v>
      </c>
      <c r="AX60" s="17">
        <f t="shared" si="3"/>
        <v>7106</v>
      </c>
      <c r="AY60" s="17">
        <f>SUMIF(上月累计工资累计社保和公积金!C:C,C60,上月累计工资累计社保和公积金!E:E)</f>
        <v>14395.4</v>
      </c>
      <c r="AZ60" s="17">
        <f t="shared" si="4"/>
        <v>27395.4</v>
      </c>
      <c r="BA60" s="17">
        <f>SUMIF(上月累计工资累计社保和公积金!C:C,C60,上月累计工资累计社保和公积金!K:K)</f>
        <v>12106</v>
      </c>
      <c r="BB60" s="17">
        <f t="shared" si="5"/>
        <v>19212</v>
      </c>
      <c r="BC60" s="17">
        <f>ROUND(MAX((AZ60-BB60-AP60-AQ60-AR60-AS60-AT60-AU60-AV60)*0.01*{3,10,20,25,30,35,45}-{0,2520,16920,31920,52920,85920,181920},0),2)</f>
        <v>245.5</v>
      </c>
      <c r="BD60" s="17">
        <f>SUMIF(上月累计工资累计社保和公积金!C:C,C60,上月累计工资累计社保和公积金!L:L)</f>
        <v>68.68</v>
      </c>
      <c r="BE60" s="17">
        <f t="shared" si="6"/>
        <v>176.82</v>
      </c>
      <c r="BF60" s="17">
        <f t="shared" si="7"/>
        <v>10877.18</v>
      </c>
      <c r="BG60" s="231"/>
      <c r="BH60" s="232" t="str">
        <f>VLOOKUP(C60,考勤!C:AL,36,0)</f>
        <v>molly@youdoogo.com</v>
      </c>
      <c r="BI60" s="233">
        <f t="shared" si="8"/>
        <v>0</v>
      </c>
      <c r="BJ60" s="236"/>
      <c r="BK60" s="235"/>
      <c r="BL60" s="235"/>
      <c r="BM60" s="235"/>
      <c r="BN60" s="235"/>
    </row>
    <row r="61" s="202" customFormat="1" ht="15.75" customHeight="1" spans="1:66">
      <c r="A61" s="224">
        <f t="shared" si="9"/>
        <v>59</v>
      </c>
      <c r="B61" s="225" t="s">
        <v>101</v>
      </c>
      <c r="C61" s="225" t="s">
        <v>384</v>
      </c>
      <c r="D61" s="225" t="s">
        <v>385</v>
      </c>
      <c r="E61" s="226" t="s">
        <v>104</v>
      </c>
      <c r="F61" s="226" t="s">
        <v>101</v>
      </c>
      <c r="G61" s="226" t="s">
        <v>69</v>
      </c>
      <c r="H61" s="228">
        <v>46171</v>
      </c>
      <c r="I61" s="229"/>
      <c r="J61" s="230" t="s">
        <v>33</v>
      </c>
      <c r="K61" s="226" t="s">
        <v>348</v>
      </c>
      <c r="L61" s="227">
        <v>1</v>
      </c>
      <c r="M61" s="226" t="s">
        <v>33</v>
      </c>
      <c r="N61" s="226" t="s">
        <v>386</v>
      </c>
      <c r="O61" s="226" t="s">
        <v>387</v>
      </c>
      <c r="P61" s="17">
        <v>18000</v>
      </c>
      <c r="Q61" s="17">
        <f>ROUND(SUMIF(其他补发!B:B,$C61,其他补发!D:D),2)</f>
        <v>0</v>
      </c>
      <c r="R61" s="17">
        <f>ROUND(SUMIF(其他补发!B:B,$C61,其他补发!H:H),2)</f>
        <v>0</v>
      </c>
      <c r="S61" s="17">
        <f>ROUND(SUMIF(其他补发!B:B,$C61,其他补发!I:I),2)</f>
        <v>0</v>
      </c>
      <c r="T61" s="17">
        <f>ROUND(SUMIF(其他补发!B:B,$C61,其他补发!E:E),2)</f>
        <v>0</v>
      </c>
      <c r="U61" s="17">
        <f>ROUND((VLOOKUP(C61,考勤!C:H,6,0)+VLOOKUP(C61,考勤!C:O,13,0)+VLOOKUP(C61,考勤!C:P,14,0)*0.3+VLOOKUP(C61,考勤!C:AA,25,0))*(P61+Q61+R61)/21.75,2)+ROUND((VLOOKUP(C61,考勤!C:V,19,0)+VLOOKUP(C61,考勤!C:V,20,0))*(P61+Q61+R61-2520)/21.75,2)</f>
        <v>0</v>
      </c>
      <c r="V61" s="17">
        <f>ROUND(SUMIF(动态表!C:C,C61,动态表!AA:AA)+SUMIFS(其他补发!L:L,其他补发!B:B,C61),2)</f>
        <v>0</v>
      </c>
      <c r="W61" s="17">
        <f>ROUND(VLOOKUP(C61,考勤!C:K,9,0)*P61/21.75/8*2+VLOOKUP(C61,考勤!C:L,10,0)*P61/21.75/8*3,2)+SUMIFS(加班费!$H:$H,加班费!$D:$D,$C61)</f>
        <v>0</v>
      </c>
      <c r="X61" s="17">
        <f>SUMIF(奖金!D:D,C61,奖金!F:F)</f>
        <v>0</v>
      </c>
      <c r="Y61" s="17">
        <f>SUMIF(其他补发!B:B,C61,其他补发!J:J)</f>
        <v>0</v>
      </c>
      <c r="Z61" s="17">
        <f>SUMIF(其他补发!B:B,C61,其他补发!F:F)</f>
        <v>0</v>
      </c>
      <c r="AA61" s="17">
        <f>SUMIF(其他补发!B:B,C61,其他补发!G:G)</f>
        <v>0</v>
      </c>
      <c r="AB61" s="17">
        <f>SUMIF(其他补发!B:B,C61,其他补发!M:M)</f>
        <v>0</v>
      </c>
      <c r="AC61" s="17">
        <f>SUMIF(其他补发!B:B,C61,其他补发!N:N)</f>
        <v>0</v>
      </c>
      <c r="AD61" s="17">
        <f>SUMIF(其他补发!B:B,C61,其他补发!K:K)</f>
        <v>0</v>
      </c>
      <c r="AE61" s="17">
        <f t="shared" si="0"/>
        <v>0</v>
      </c>
      <c r="AF61" s="17">
        <f t="shared" si="1"/>
        <v>18000</v>
      </c>
      <c r="AG61" s="17">
        <f>SUMIF(税后扣款!B:B,C61,税后扣款!E:E)</f>
        <v>0</v>
      </c>
      <c r="AH61" s="17">
        <f>SUMIF(房租水电!A:A,C61,房租水电!C:C)</f>
        <v>0</v>
      </c>
      <c r="AI61" s="17">
        <f>SUMIF(房租水电!A:A,C61,房租水电!D:D)</f>
        <v>0</v>
      </c>
      <c r="AJ61" s="17">
        <f>SUMIF(税后扣款!B:B,C61,税后扣款!D:D)</f>
        <v>-160</v>
      </c>
      <c r="AK61" s="17">
        <f t="shared" si="2"/>
        <v>-160</v>
      </c>
      <c r="AL61" s="17">
        <f>SUMIF(社会保险!D:D,N61,社会保险!I:I)</f>
        <v>1440</v>
      </c>
      <c r="AM61" s="17">
        <f>SUMIF(社会保险!D:D,N61,社会保险!J:J)</f>
        <v>360</v>
      </c>
      <c r="AN61" s="17">
        <f>SUMIF(社会保险!D:D,N61,社会保险!K:K)</f>
        <v>36</v>
      </c>
      <c r="AO61" s="17">
        <f>SUMIF(公积金!C:C,N61,公积金!L:L)</f>
        <v>2160</v>
      </c>
      <c r="AP61" s="17">
        <f>SUMIF(专项扣除!$B:$B,$C61,专项扣除!D:D)</f>
        <v>0</v>
      </c>
      <c r="AQ61" s="17">
        <f>SUMIF(专项扣除!$B:$B,$C61,专项扣除!E:E)</f>
        <v>0</v>
      </c>
      <c r="AR61" s="17">
        <f>SUMIF(专项扣除!$B:$B,$C61,专项扣除!F:F)</f>
        <v>0</v>
      </c>
      <c r="AS61" s="17">
        <f>SUMIF(专项扣除!$B:$B,$C61,专项扣除!G:G)</f>
        <v>0</v>
      </c>
      <c r="AT61" s="17">
        <f>SUMIF(专项扣除!$B:$B,$C61,专项扣除!H:H)</f>
        <v>0</v>
      </c>
      <c r="AU61" s="17">
        <f>SUMIF(专项扣除!$B:$B,$C61,专项扣除!I:I)</f>
        <v>0</v>
      </c>
      <c r="AV61" s="17">
        <f>SUMIF(专项扣除!$B:$B,$C61,专项扣除!J:J)</f>
        <v>0</v>
      </c>
      <c r="AW61" s="17">
        <v>5000</v>
      </c>
      <c r="AX61" s="17">
        <f t="shared" si="3"/>
        <v>8996</v>
      </c>
      <c r="AY61" s="17">
        <f>SUMIF(上月累计工资累计社保和公积金!C:C,C61,上月累计工资累计社保和公积金!E:E)</f>
        <v>19027.59</v>
      </c>
      <c r="AZ61" s="17">
        <f t="shared" si="4"/>
        <v>37027.59</v>
      </c>
      <c r="BA61" s="17">
        <f>SUMIF(上月累计工资累计社保和公积金!C:C,C61,上月累计工资累计社保和公积金!K:K)</f>
        <v>12916</v>
      </c>
      <c r="BB61" s="17">
        <f t="shared" si="5"/>
        <v>21912</v>
      </c>
      <c r="BC61" s="17">
        <f>ROUND(MAX((AZ61-BB61-AP61-AQ61-AR61-AS61-AT61-AU61-AV61)*0.01*{3,10,20,25,30,35,45}-{0,2520,16920,31920,52920,85920,181920},0),2)</f>
        <v>453.47</v>
      </c>
      <c r="BD61" s="17">
        <f>SUMIF(上月累计工资累计社保和公积金!C:C,C61,上月累计工资累计社保和公积金!L:L)</f>
        <v>183.35</v>
      </c>
      <c r="BE61" s="17">
        <f t="shared" si="6"/>
        <v>270.12</v>
      </c>
      <c r="BF61" s="17">
        <f t="shared" si="7"/>
        <v>13893.88</v>
      </c>
      <c r="BG61" s="231"/>
      <c r="BH61" s="232" t="str">
        <f>VLOOKUP(C61,考勤!C:AL,36,0)</f>
        <v>Judy@youdoogo.com</v>
      </c>
      <c r="BI61" s="233">
        <f t="shared" si="8"/>
        <v>0</v>
      </c>
      <c r="BJ61" s="236"/>
      <c r="BK61" s="235"/>
      <c r="BL61" s="235"/>
      <c r="BM61" s="235"/>
      <c r="BN61" s="235"/>
    </row>
    <row r="62" s="202" customFormat="1" ht="15.75" customHeight="1" spans="1:66">
      <c r="A62" s="224">
        <f t="shared" si="9"/>
        <v>60</v>
      </c>
      <c r="B62" s="225" t="s">
        <v>101</v>
      </c>
      <c r="C62" s="225" t="s">
        <v>388</v>
      </c>
      <c r="D62" s="225" t="s">
        <v>389</v>
      </c>
      <c r="E62" s="226" t="s">
        <v>104</v>
      </c>
      <c r="F62" s="226" t="s">
        <v>101</v>
      </c>
      <c r="G62" s="226" t="s">
        <v>65</v>
      </c>
      <c r="H62" s="228">
        <v>46175</v>
      </c>
      <c r="I62" s="229"/>
      <c r="J62" s="230" t="s">
        <v>36</v>
      </c>
      <c r="K62" s="226" t="s">
        <v>390</v>
      </c>
      <c r="L62" s="227">
        <v>1</v>
      </c>
      <c r="M62" s="226" t="s">
        <v>36</v>
      </c>
      <c r="N62" s="229" t="s">
        <v>391</v>
      </c>
      <c r="O62" s="229" t="s">
        <v>392</v>
      </c>
      <c r="P62" s="17">
        <v>11000</v>
      </c>
      <c r="Q62" s="17">
        <f>ROUND(SUMIF(其他补发!B:B,$C62,其他补发!D:D),2)</f>
        <v>0</v>
      </c>
      <c r="R62" s="17">
        <f>ROUND(SUMIF(其他补发!B:B,$C62,其他补发!H:H),2)</f>
        <v>0</v>
      </c>
      <c r="S62" s="17">
        <f>ROUND(SUMIF(其他补发!B:B,$C62,其他补发!I:I),2)</f>
        <v>0</v>
      </c>
      <c r="T62" s="17">
        <f>ROUND(SUMIF(其他补发!B:B,$C62,其他补发!E:E),2)</f>
        <v>0</v>
      </c>
      <c r="U62" s="17">
        <f>ROUND((VLOOKUP(C62,考勤!C:H,6,0)+VLOOKUP(C62,考勤!C:O,13,0)+VLOOKUP(C62,考勤!C:P,14,0)*0.3+VLOOKUP(C62,考勤!C:AA,25,0))*(P62+Q62+R62)/21.75,2)+ROUND((VLOOKUP(C62,考勤!C:V,19,0)+VLOOKUP(C62,考勤!C:V,20,0))*(P62+Q62+R62-2520)/21.75,2)</f>
        <v>0</v>
      </c>
      <c r="V62" s="17">
        <f>ROUND(SUMIF(动态表!C:C,C62,动态表!AA:AA)+SUMIFS(其他补发!L:L,其他补发!B:B,C62),2)</f>
        <v>0</v>
      </c>
      <c r="W62" s="17">
        <f>ROUND(VLOOKUP(C62,考勤!C:K,9,0)*P62/21.75/8*2+VLOOKUP(C62,考勤!C:L,10,0)*P62/21.75/8*3,2)+SUMIFS(加班费!$H:$H,加班费!$D:$D,$C62)</f>
        <v>0</v>
      </c>
      <c r="X62" s="17">
        <f>SUMIF(奖金!D:D,C62,奖金!F:F)</f>
        <v>0</v>
      </c>
      <c r="Y62" s="17">
        <f>SUMIF(其他补发!B:B,C62,其他补发!J:J)</f>
        <v>0</v>
      </c>
      <c r="Z62" s="17">
        <f>SUMIF(其他补发!B:B,C62,其他补发!F:F)</f>
        <v>0</v>
      </c>
      <c r="AA62" s="17">
        <f>SUMIF(其他补发!B:B,C62,其他补发!G:G)</f>
        <v>0</v>
      </c>
      <c r="AB62" s="17">
        <f>SUMIF(其他补发!B:B,C62,其他补发!M:M)</f>
        <v>0</v>
      </c>
      <c r="AC62" s="17">
        <f>SUMIF(其他补发!B:B,C62,其他补发!N:N)</f>
        <v>0</v>
      </c>
      <c r="AD62" s="17">
        <f>SUMIF(其他补发!B:B,C62,其他补发!K:K)</f>
        <v>0</v>
      </c>
      <c r="AE62" s="17">
        <f t="shared" si="0"/>
        <v>0</v>
      </c>
      <c r="AF62" s="17">
        <f t="shared" si="1"/>
        <v>11000</v>
      </c>
      <c r="AG62" s="17">
        <f>SUMIF(税后扣款!B:B,C62,税后扣款!E:E)</f>
        <v>0</v>
      </c>
      <c r="AH62" s="17">
        <f>SUMIF(房租水电!A:A,C62,房租水电!C:C)</f>
        <v>0</v>
      </c>
      <c r="AI62" s="17">
        <f>SUMIF(房租水电!A:A,C62,房租水电!D:D)</f>
        <v>0</v>
      </c>
      <c r="AJ62" s="17">
        <f>SUMIF(税后扣款!B:B,C62,税后扣款!D:D)</f>
        <v>0</v>
      </c>
      <c r="AK62" s="17">
        <f t="shared" si="2"/>
        <v>0</v>
      </c>
      <c r="AL62" s="17">
        <f>SUMIF(社会保险!D:D,N62,社会保险!I:I)</f>
        <v>880</v>
      </c>
      <c r="AM62" s="17">
        <f>SUMIF(社会保险!D:D,N62,社会保险!J:J)</f>
        <v>220</v>
      </c>
      <c r="AN62" s="17">
        <f>SUMIF(社会保险!D:D,N62,社会保险!K:K)</f>
        <v>22</v>
      </c>
      <c r="AO62" s="17">
        <f>SUMIF(公积金!C:C,N62,公积金!L:L)</f>
        <v>660</v>
      </c>
      <c r="AP62" s="17">
        <f>SUMIF(专项扣除!$B:$B,$C62,专项扣除!D:D)</f>
        <v>0</v>
      </c>
      <c r="AQ62" s="17">
        <f>SUMIF(专项扣除!$B:$B,$C62,专项扣除!E:E)</f>
        <v>0</v>
      </c>
      <c r="AR62" s="17">
        <f>SUMIF(专项扣除!$B:$B,$C62,专项扣除!F:F)</f>
        <v>0</v>
      </c>
      <c r="AS62" s="17">
        <f>SUMIF(专项扣除!$B:$B,$C62,专项扣除!G:G)</f>
        <v>0</v>
      </c>
      <c r="AT62" s="17">
        <f>SUMIF(专项扣除!$B:$B,$C62,专项扣除!H:H)</f>
        <v>0</v>
      </c>
      <c r="AU62" s="17">
        <f>SUMIF(专项扣除!$B:$B,$C62,专项扣除!I:I)</f>
        <v>0</v>
      </c>
      <c r="AV62" s="17">
        <f>SUMIF(专项扣除!$B:$B,$C62,专项扣除!J:J)</f>
        <v>0</v>
      </c>
      <c r="AW62" s="17">
        <v>5000</v>
      </c>
      <c r="AX62" s="17">
        <f t="shared" si="3"/>
        <v>6782</v>
      </c>
      <c r="AY62" s="17">
        <f>SUMIF(上月累计工资累计社保和公积金!C:C,C62,上月累计工资累计社保和公积金!E:E)</f>
        <v>10694.25</v>
      </c>
      <c r="AZ62" s="17">
        <f t="shared" si="4"/>
        <v>21694.25</v>
      </c>
      <c r="BA62" s="17">
        <f>SUMIF(上月累计工资累计社保和公积金!C:C,C62,上月累计工资累计社保和公积金!K:K)</f>
        <v>6782</v>
      </c>
      <c r="BB62" s="17">
        <f t="shared" si="5"/>
        <v>13564</v>
      </c>
      <c r="BC62" s="17">
        <f>ROUND(MAX((AZ62-BB62-AP62-AQ62-AR62-AS62-AT62-AU62-AV62)*0.01*{3,10,20,25,30,35,45}-{0,2520,16920,31920,52920,85920,181920},0),2)</f>
        <v>243.91</v>
      </c>
      <c r="BD62" s="17">
        <f>SUMIF(上月累计工资累计社保和公积金!C:C,C62,上月累计工资累计社保和公积金!L:L)</f>
        <v>117.37</v>
      </c>
      <c r="BE62" s="17">
        <f t="shared" si="6"/>
        <v>126.54</v>
      </c>
      <c r="BF62" s="17">
        <f t="shared" si="7"/>
        <v>9091.46</v>
      </c>
      <c r="BG62" s="231"/>
      <c r="BH62" s="232" t="str">
        <f>VLOOKUP(C62,考勤!C:AL,36,0)</f>
        <v>Daniel@youdoogo.com</v>
      </c>
      <c r="BI62" s="233">
        <f t="shared" si="8"/>
        <v>0</v>
      </c>
      <c r="BJ62" s="236"/>
      <c r="BK62" s="235"/>
      <c r="BL62" s="235"/>
      <c r="BM62" s="235"/>
      <c r="BN62" s="235"/>
    </row>
    <row r="63" s="202" customFormat="1" ht="15.75" customHeight="1" spans="1:66">
      <c r="A63" s="224">
        <f t="shared" si="9"/>
        <v>61</v>
      </c>
      <c r="B63" s="225" t="s">
        <v>101</v>
      </c>
      <c r="C63" s="225" t="s">
        <v>393</v>
      </c>
      <c r="D63" s="225" t="s">
        <v>394</v>
      </c>
      <c r="E63" s="226" t="s">
        <v>104</v>
      </c>
      <c r="F63" s="226" t="s">
        <v>101</v>
      </c>
      <c r="G63" s="226" t="s">
        <v>68</v>
      </c>
      <c r="H63" s="228">
        <v>46175</v>
      </c>
      <c r="I63" s="229"/>
      <c r="J63" s="230" t="s">
        <v>38</v>
      </c>
      <c r="K63" s="226" t="s">
        <v>395</v>
      </c>
      <c r="L63" s="227">
        <v>1</v>
      </c>
      <c r="M63" s="226" t="s">
        <v>38</v>
      </c>
      <c r="N63" s="229" t="s">
        <v>396</v>
      </c>
      <c r="O63" s="229" t="s">
        <v>397</v>
      </c>
      <c r="P63" s="17">
        <v>15000</v>
      </c>
      <c r="Q63" s="17">
        <f>ROUND(SUMIF(其他补发!B:B,$C63,其他补发!D:D),2)</f>
        <v>0</v>
      </c>
      <c r="R63" s="17">
        <f>ROUND(SUMIF(其他补发!B:B,$C63,其他补发!H:H),2)</f>
        <v>0</v>
      </c>
      <c r="S63" s="17">
        <f>ROUND(SUMIF(其他补发!B:B,$C63,其他补发!I:I),2)</f>
        <v>0</v>
      </c>
      <c r="T63" s="17">
        <f>ROUND(SUMIF(其他补发!B:B,$C63,其他补发!E:E),2)</f>
        <v>0</v>
      </c>
      <c r="U63" s="17">
        <f>ROUND((VLOOKUP(C63,考勤!C:H,6,0)+VLOOKUP(C63,考勤!C:O,13,0)+VLOOKUP(C63,考勤!C:P,14,0)*0.3+VLOOKUP(C63,考勤!C:AA,25,0))*(P63+Q63+R63)/21.75,2)+ROUND((VLOOKUP(C63,考勤!C:V,19,0)+VLOOKUP(C63,考勤!C:V,20,0))*(P63+Q63+R63-2520)/21.75,2)</f>
        <v>0</v>
      </c>
      <c r="V63" s="17">
        <f>ROUND(SUMIF(动态表!C:C,C63,动态表!AA:AA)+SUMIFS(其他补发!L:L,其他补发!B:B,C63),2)</f>
        <v>0</v>
      </c>
      <c r="W63" s="17">
        <f>ROUND(VLOOKUP(C63,考勤!C:K,9,0)*P63/21.75/8*2+VLOOKUP(C63,考勤!C:L,10,0)*P63/21.75/8*3,2)+SUMIFS(加班费!$H:$H,加班费!$D:$D,$C63)</f>
        <v>0</v>
      </c>
      <c r="X63" s="17">
        <f>SUMIF(奖金!D:D,C63,奖金!F:F)</f>
        <v>0</v>
      </c>
      <c r="Y63" s="17">
        <f>SUMIF(其他补发!B:B,C63,其他补发!J:J)</f>
        <v>0</v>
      </c>
      <c r="Z63" s="17">
        <f>SUMIF(其他补发!B:B,C63,其他补发!F:F)</f>
        <v>0</v>
      </c>
      <c r="AA63" s="17">
        <f>SUMIF(其他补发!B:B,C63,其他补发!G:G)</f>
        <v>0</v>
      </c>
      <c r="AB63" s="17">
        <f>SUMIF(其他补发!B:B,C63,其他补发!M:M)</f>
        <v>0</v>
      </c>
      <c r="AC63" s="17">
        <f>SUMIF(其他补发!B:B,C63,其他补发!N:N)</f>
        <v>0</v>
      </c>
      <c r="AD63" s="17">
        <f>SUMIF(其他补发!B:B,C63,其他补发!K:K)</f>
        <v>0</v>
      </c>
      <c r="AE63" s="17">
        <f t="shared" si="0"/>
        <v>0</v>
      </c>
      <c r="AF63" s="17">
        <f t="shared" si="1"/>
        <v>15000</v>
      </c>
      <c r="AG63" s="17">
        <f>SUMIF(税后扣款!B:B,C63,税后扣款!E:E)</f>
        <v>0</v>
      </c>
      <c r="AH63" s="17">
        <f>SUMIF(房租水电!A:A,C63,房租水电!C:C)</f>
        <v>0</v>
      </c>
      <c r="AI63" s="17">
        <f>SUMIF(房租水电!A:A,C63,房租水电!D:D)</f>
        <v>0</v>
      </c>
      <c r="AJ63" s="17">
        <f>SUMIF(税后扣款!B:B,C63,税后扣款!D:D)</f>
        <v>-240</v>
      </c>
      <c r="AK63" s="17">
        <f t="shared" si="2"/>
        <v>-240</v>
      </c>
      <c r="AL63" s="17">
        <f>SUMIF(社会保险!D:D,N63,社会保险!I:I)</f>
        <v>1200</v>
      </c>
      <c r="AM63" s="17">
        <f>SUMIF(社会保险!D:D,N63,社会保险!J:J)</f>
        <v>300</v>
      </c>
      <c r="AN63" s="17">
        <f>SUMIF(社会保险!D:D,N63,社会保险!K:K)</f>
        <v>30</v>
      </c>
      <c r="AO63" s="17">
        <f>SUMIF(公积金!C:C,N63,公积金!L:L)</f>
        <v>1800</v>
      </c>
      <c r="AP63" s="17">
        <f>SUMIF(专项扣除!$B:$B,$C63,专项扣除!D:D)</f>
        <v>0</v>
      </c>
      <c r="AQ63" s="17">
        <f>SUMIF(专项扣除!$B:$B,$C63,专项扣除!E:E)</f>
        <v>0</v>
      </c>
      <c r="AR63" s="17">
        <f>SUMIF(专项扣除!$B:$B,$C63,专项扣除!F:F)</f>
        <v>0</v>
      </c>
      <c r="AS63" s="17">
        <f>SUMIF(专项扣除!$B:$B,$C63,专项扣除!G:G)</f>
        <v>0</v>
      </c>
      <c r="AT63" s="17">
        <f>SUMIF(专项扣除!$B:$B,$C63,专项扣除!H:H)</f>
        <v>0</v>
      </c>
      <c r="AU63" s="17">
        <f>SUMIF(专项扣除!$B:$B,$C63,专项扣除!I:I)</f>
        <v>0</v>
      </c>
      <c r="AV63" s="17">
        <f>SUMIF(专项扣除!$B:$B,$C63,专项扣除!J:J)</f>
        <v>0</v>
      </c>
      <c r="AW63" s="17">
        <v>5000</v>
      </c>
      <c r="AX63" s="17">
        <f t="shared" si="3"/>
        <v>8330</v>
      </c>
      <c r="AY63" s="17">
        <f>SUMIF(上月累计工资累计社保和公积金!C:C,C63,上月累计工资累计社保和公积金!E:E)</f>
        <v>13820.69</v>
      </c>
      <c r="AZ63" s="17">
        <f t="shared" si="4"/>
        <v>28820.69</v>
      </c>
      <c r="BA63" s="17">
        <f>SUMIF(上月累计工资累计社保和公积金!C:C,C63,上月累计工资累计社保和公积金!K:K)</f>
        <v>7430</v>
      </c>
      <c r="BB63" s="17">
        <f t="shared" si="5"/>
        <v>15760</v>
      </c>
      <c r="BC63" s="17">
        <f>ROUND(MAX((AZ63-BB63-AP63-AQ63-AR63-AS63-AT63-AU63-AV63)*0.01*{3,10,20,25,30,35,45}-{0,2520,16920,31920,52920,85920,181920},0),2)</f>
        <v>391.82</v>
      </c>
      <c r="BD63" s="17">
        <f>SUMIF(上月累计工资累计社保和公积金!C:C,C63,上月累计工资累计社保和公积金!L:L)</f>
        <v>191.72</v>
      </c>
      <c r="BE63" s="17">
        <f t="shared" si="6"/>
        <v>200.1</v>
      </c>
      <c r="BF63" s="17">
        <f t="shared" si="7"/>
        <v>11709.9</v>
      </c>
      <c r="BG63" s="231"/>
      <c r="BH63" s="232" t="str">
        <f>VLOOKUP(C63,考勤!C:AL,36,0)</f>
        <v>Luna@youdoogo.com</v>
      </c>
      <c r="BI63" s="233">
        <f t="shared" si="8"/>
        <v>0</v>
      </c>
      <c r="BJ63" s="236"/>
      <c r="BK63" s="235"/>
      <c r="BL63" s="235"/>
      <c r="BM63" s="235"/>
      <c r="BN63" s="235"/>
    </row>
    <row r="64" s="202" customFormat="1" ht="15.75" customHeight="1" spans="1:66">
      <c r="A64" s="224">
        <f t="shared" si="9"/>
        <v>62</v>
      </c>
      <c r="B64" s="225" t="s">
        <v>101</v>
      </c>
      <c r="C64" s="225" t="s">
        <v>398</v>
      </c>
      <c r="D64" s="225" t="s">
        <v>399</v>
      </c>
      <c r="E64" s="226" t="s">
        <v>104</v>
      </c>
      <c r="F64" s="226" t="s">
        <v>101</v>
      </c>
      <c r="G64" s="226" t="s">
        <v>65</v>
      </c>
      <c r="H64" s="228">
        <v>46175</v>
      </c>
      <c r="I64" s="229"/>
      <c r="J64" s="230" t="s">
        <v>36</v>
      </c>
      <c r="K64" s="226" t="s">
        <v>220</v>
      </c>
      <c r="L64" s="227">
        <v>1</v>
      </c>
      <c r="M64" s="226" t="s">
        <v>36</v>
      </c>
      <c r="N64" s="229" t="s">
        <v>400</v>
      </c>
      <c r="O64" s="229" t="s">
        <v>401</v>
      </c>
      <c r="P64" s="17">
        <v>28000</v>
      </c>
      <c r="Q64" s="17">
        <f>ROUND(SUMIF(其他补发!B:B,$C64,其他补发!D:D),2)</f>
        <v>0</v>
      </c>
      <c r="R64" s="17">
        <f>ROUND(SUMIF(其他补发!B:B,$C64,其他补发!H:H),2)</f>
        <v>0</v>
      </c>
      <c r="S64" s="17">
        <f>ROUND(SUMIF(其他补发!B:B,$C64,其他补发!I:I),2)</f>
        <v>0</v>
      </c>
      <c r="T64" s="17">
        <f>ROUND(SUMIF(其他补发!B:B,$C64,其他补发!E:E),2)</f>
        <v>0</v>
      </c>
      <c r="U64" s="17">
        <f>ROUND((VLOOKUP(C64,考勤!C:H,6,0)+VLOOKUP(C64,考勤!C:O,13,0)+VLOOKUP(C64,考勤!C:P,14,0)*0.3+VLOOKUP(C64,考勤!C:AA,25,0))*(P64+Q64+R64)/21.75,2)+ROUND((VLOOKUP(C64,考勤!C:V,19,0)+VLOOKUP(C64,考勤!C:V,20,0))*(P64+Q64+R64-2520)/21.75,2)</f>
        <v>0</v>
      </c>
      <c r="V64" s="17">
        <f>ROUND(SUMIF(动态表!C:C,C64,动态表!AA:AA)+SUMIFS(其他补发!L:L,其他补发!B:B,C64),2)</f>
        <v>0</v>
      </c>
      <c r="W64" s="17">
        <f>ROUND(VLOOKUP(C64,考勤!C:K,9,0)*P64/21.75/8*2+VLOOKUP(C64,考勤!C:L,10,0)*P64/21.75/8*3,2)+SUMIFS(加班费!$H:$H,加班费!$D:$D,$C64)</f>
        <v>0</v>
      </c>
      <c r="X64" s="17">
        <f>SUMIF(奖金!D:D,C64,奖金!F:F)</f>
        <v>0</v>
      </c>
      <c r="Y64" s="17">
        <f>SUMIF(其他补发!B:B,C64,其他补发!J:J)</f>
        <v>0</v>
      </c>
      <c r="Z64" s="17">
        <f>SUMIF(其他补发!B:B,C64,其他补发!F:F)</f>
        <v>0</v>
      </c>
      <c r="AA64" s="17">
        <f>SUMIF(其他补发!B:B,C64,其他补发!G:G)</f>
        <v>0</v>
      </c>
      <c r="AB64" s="17">
        <f>SUMIF(其他补发!B:B,C64,其他补发!M:M)</f>
        <v>0</v>
      </c>
      <c r="AC64" s="17">
        <f>SUMIF(其他补发!B:B,C64,其他补发!N:N)</f>
        <v>0</v>
      </c>
      <c r="AD64" s="17">
        <f>SUMIF(其他补发!B:B,C64,其他补发!K:K)</f>
        <v>0</v>
      </c>
      <c r="AE64" s="17">
        <f t="shared" si="0"/>
        <v>0</v>
      </c>
      <c r="AF64" s="17">
        <f t="shared" si="1"/>
        <v>28000</v>
      </c>
      <c r="AG64" s="17">
        <f>SUMIF(税后扣款!B:B,C64,税后扣款!E:E)</f>
        <v>0</v>
      </c>
      <c r="AH64" s="17">
        <f>SUMIF(房租水电!A:A,C64,房租水电!C:C)</f>
        <v>0</v>
      </c>
      <c r="AI64" s="17">
        <f>SUMIF(房租水电!A:A,C64,房租水电!D:D)</f>
        <v>0</v>
      </c>
      <c r="AJ64" s="17">
        <f>SUMIF(税后扣款!B:B,C64,税后扣款!D:D)</f>
        <v>-160</v>
      </c>
      <c r="AK64" s="17">
        <f t="shared" si="2"/>
        <v>-160</v>
      </c>
      <c r="AL64" s="17">
        <f>SUMIF(社会保险!D:D,N64,社会保险!I:I)</f>
        <v>2203.92</v>
      </c>
      <c r="AM64" s="17">
        <f>SUMIF(社会保险!D:D,N64,社会保险!J:J)</f>
        <v>560</v>
      </c>
      <c r="AN64" s="17">
        <f>SUMIF(社会保险!D:D,N64,社会保险!K:K)</f>
        <v>56</v>
      </c>
      <c r="AO64" s="17">
        <f>SUMIF(公积金!C:C,N64,公积金!L:L)</f>
        <v>1680</v>
      </c>
      <c r="AP64" s="17">
        <f>SUMIF(专项扣除!$B:$B,$C64,专项扣除!D:D)</f>
        <v>0</v>
      </c>
      <c r="AQ64" s="17">
        <f>SUMIF(专项扣除!$B:$B,$C64,专项扣除!E:E)</f>
        <v>0</v>
      </c>
      <c r="AR64" s="17">
        <f>SUMIF(专项扣除!$B:$B,$C64,专项扣除!F:F)</f>
        <v>0</v>
      </c>
      <c r="AS64" s="17">
        <f>SUMIF(专项扣除!$B:$B,$C64,专项扣除!G:G)</f>
        <v>0</v>
      </c>
      <c r="AT64" s="17">
        <f>SUMIF(专项扣除!$B:$B,$C64,专项扣除!H:H)</f>
        <v>0</v>
      </c>
      <c r="AU64" s="17">
        <f>SUMIF(专项扣除!$B:$B,$C64,专项扣除!I:I)</f>
        <v>0</v>
      </c>
      <c r="AV64" s="17">
        <f>SUMIF(专项扣除!$B:$B,$C64,专项扣除!J:J)</f>
        <v>0</v>
      </c>
      <c r="AW64" s="17">
        <v>5000</v>
      </c>
      <c r="AX64" s="17">
        <f t="shared" si="3"/>
        <v>9499.92</v>
      </c>
      <c r="AY64" s="17">
        <f>SUMIF(上月累计工资累计社保和公积金!C:C,C64,上月累计工资累计社保和公积金!E:E)</f>
        <v>26912.64</v>
      </c>
      <c r="AZ64" s="17">
        <f t="shared" si="4"/>
        <v>54912.64</v>
      </c>
      <c r="BA64" s="17">
        <f>SUMIF(上月累计工资累计社保和公积金!C:C,C64,上月累计工资累计社保和公积金!K:K)</f>
        <v>9499.92</v>
      </c>
      <c r="BB64" s="17">
        <f t="shared" si="5"/>
        <v>18999.84</v>
      </c>
      <c r="BC64" s="17">
        <f>ROUND(MAX((AZ64-BB64-AP64-AQ64-AR64-AS64-AT64-AU64-AV64)*0.01*{3,10,20,25,30,35,45}-{0,2520,16920,31920,52920,85920,181920},0),2)</f>
        <v>1077.38</v>
      </c>
      <c r="BD64" s="17">
        <f>SUMIF(上月累计工资累计社保和公积金!C:C,C64,上月累计工资累计社保和公积金!L:L)</f>
        <v>522.38</v>
      </c>
      <c r="BE64" s="17">
        <f t="shared" si="6"/>
        <v>555</v>
      </c>
      <c r="BF64" s="17">
        <f t="shared" si="7"/>
        <v>23105.08</v>
      </c>
      <c r="BG64" s="231"/>
      <c r="BH64" s="232" t="str">
        <f>VLOOKUP(C64,考勤!C:AL,36,0)</f>
        <v>Steven@youdoogo.com</v>
      </c>
      <c r="BI64" s="233">
        <f t="shared" si="8"/>
        <v>0</v>
      </c>
      <c r="BJ64" s="236"/>
      <c r="BK64" s="235"/>
      <c r="BL64" s="235"/>
      <c r="BM64" s="235"/>
      <c r="BN64" s="235"/>
    </row>
    <row r="65" s="202" customFormat="1" ht="15.75" customHeight="1" spans="1:66">
      <c r="A65" s="224">
        <f t="shared" si="9"/>
        <v>63</v>
      </c>
      <c r="B65" s="225" t="s">
        <v>101</v>
      </c>
      <c r="C65" s="225" t="s">
        <v>402</v>
      </c>
      <c r="D65" s="225" t="s">
        <v>403</v>
      </c>
      <c r="E65" s="226" t="s">
        <v>104</v>
      </c>
      <c r="F65" s="226" t="s">
        <v>101</v>
      </c>
      <c r="G65" s="226" t="s">
        <v>69</v>
      </c>
      <c r="H65" s="228">
        <v>46177</v>
      </c>
      <c r="I65" s="229"/>
      <c r="J65" s="230" t="s">
        <v>33</v>
      </c>
      <c r="K65" s="226" t="s">
        <v>115</v>
      </c>
      <c r="L65" s="227">
        <v>1</v>
      </c>
      <c r="M65" s="226" t="s">
        <v>33</v>
      </c>
      <c r="N65" s="229" t="s">
        <v>404</v>
      </c>
      <c r="O65" s="229" t="s">
        <v>405</v>
      </c>
      <c r="P65" s="17">
        <v>28000</v>
      </c>
      <c r="Q65" s="17">
        <f>ROUND(SUMIF(其他补发!B:B,$C65,其他补发!D:D),2)</f>
        <v>0</v>
      </c>
      <c r="R65" s="17">
        <f>ROUND(SUMIF(其他补发!B:B,$C65,其他补发!H:H),2)</f>
        <v>0</v>
      </c>
      <c r="S65" s="17">
        <f>ROUND(SUMIF(其他补发!B:B,$C65,其他补发!I:I),2)</f>
        <v>0</v>
      </c>
      <c r="T65" s="17">
        <f>ROUND(SUMIF(其他补发!B:B,$C65,其他补发!E:E),2)</f>
        <v>0</v>
      </c>
      <c r="U65" s="17">
        <f>ROUND((VLOOKUP(C65,考勤!C:H,6,0)+VLOOKUP(C65,考勤!C:O,13,0)+VLOOKUP(C65,考勤!C:P,14,0)*0.3+VLOOKUP(C65,考勤!C:AA,25,0))*(P65+Q65+R65)/21.75,2)+ROUND((VLOOKUP(C65,考勤!C:V,19,0)+VLOOKUP(C65,考勤!C:V,20,0))*(P65+Q65+R65-2520)/21.75,2)</f>
        <v>0</v>
      </c>
      <c r="V65" s="17">
        <f>ROUND(SUMIF(动态表!C:C,C65,动态表!AA:AA)+SUMIFS(其他补发!L:L,其他补发!B:B,C65),2)</f>
        <v>0</v>
      </c>
      <c r="W65" s="17">
        <f>ROUND(VLOOKUP(C65,考勤!C:K,9,0)*P65/21.75/8*2+VLOOKUP(C65,考勤!C:L,10,0)*P65/21.75/8*3,2)+SUMIFS(加班费!$H:$H,加班费!$D:$D,$C65)</f>
        <v>0</v>
      </c>
      <c r="X65" s="17">
        <f>SUMIF(奖金!D:D,C65,奖金!F:F)</f>
        <v>0</v>
      </c>
      <c r="Y65" s="17">
        <f>SUMIF(其他补发!B:B,C65,其他补发!J:J)</f>
        <v>0</v>
      </c>
      <c r="Z65" s="17">
        <f>SUMIF(其他补发!B:B,C65,其他补发!F:F)</f>
        <v>0</v>
      </c>
      <c r="AA65" s="17">
        <f>SUMIF(其他补发!B:B,C65,其他补发!G:G)</f>
        <v>0</v>
      </c>
      <c r="AB65" s="17">
        <f>SUMIF(其他补发!B:B,C65,其他补发!M:M)</f>
        <v>0</v>
      </c>
      <c r="AC65" s="17">
        <f>SUMIF(其他补发!B:B,C65,其他补发!N:N)</f>
        <v>0</v>
      </c>
      <c r="AD65" s="17">
        <f>SUMIF(其他补发!B:B,C65,其他补发!K:K)</f>
        <v>0</v>
      </c>
      <c r="AE65" s="17">
        <f t="shared" si="0"/>
        <v>0</v>
      </c>
      <c r="AF65" s="17">
        <f t="shared" si="1"/>
        <v>28000</v>
      </c>
      <c r="AG65" s="17">
        <f>SUMIF(税后扣款!B:B,C65,税后扣款!E:E)</f>
        <v>0</v>
      </c>
      <c r="AH65" s="17">
        <f>SUMIF(房租水电!A:A,C65,房租水电!C:C)</f>
        <v>0</v>
      </c>
      <c r="AI65" s="17">
        <f>SUMIF(房租水电!A:A,C65,房租水电!D:D)</f>
        <v>0</v>
      </c>
      <c r="AJ65" s="17">
        <f>SUMIF(税后扣款!B:B,C65,税后扣款!D:D)</f>
        <v>-160</v>
      </c>
      <c r="AK65" s="17">
        <f t="shared" si="2"/>
        <v>-160</v>
      </c>
      <c r="AL65" s="17">
        <f>SUMIF(社会保险!D:D,N65,社会保险!I:I)</f>
        <v>2203.92</v>
      </c>
      <c r="AM65" s="17">
        <f>SUMIF(社会保险!D:D,N65,社会保险!J:J)</f>
        <v>560</v>
      </c>
      <c r="AN65" s="17">
        <f>SUMIF(社会保险!D:D,N65,社会保险!K:K)</f>
        <v>56</v>
      </c>
      <c r="AO65" s="17">
        <f>SUMIF(公积金!C:C,N65,公积金!L:L)</f>
        <v>3360</v>
      </c>
      <c r="AP65" s="17">
        <f>SUMIF(专项扣除!$B:$B,$C65,专项扣除!D:D)</f>
        <v>0</v>
      </c>
      <c r="AQ65" s="17">
        <f>SUMIF(专项扣除!$B:$B,$C65,专项扣除!E:E)</f>
        <v>0</v>
      </c>
      <c r="AR65" s="17">
        <f>SUMIF(专项扣除!$B:$B,$C65,专项扣除!F:F)</f>
        <v>0</v>
      </c>
      <c r="AS65" s="17">
        <f>SUMIF(专项扣除!$B:$B,$C65,专项扣除!G:G)</f>
        <v>0</v>
      </c>
      <c r="AT65" s="17">
        <f>SUMIF(专项扣除!$B:$B,$C65,专项扣除!H:H)</f>
        <v>0</v>
      </c>
      <c r="AU65" s="17">
        <f>SUMIF(专项扣除!$B:$B,$C65,专项扣除!I:I)</f>
        <v>0</v>
      </c>
      <c r="AV65" s="17">
        <f>SUMIF(专项扣除!$B:$B,$C65,专项扣除!J:J)</f>
        <v>0</v>
      </c>
      <c r="AW65" s="17">
        <v>5000</v>
      </c>
      <c r="AX65" s="17">
        <f t="shared" si="3"/>
        <v>11179.92</v>
      </c>
      <c r="AY65" s="17">
        <f>SUMIF(上月累计工资累计社保和公积金!C:C,C65,上月累计工资累计社保和公积金!E:E)</f>
        <v>24337.93</v>
      </c>
      <c r="AZ65" s="17">
        <f t="shared" si="4"/>
        <v>52337.93</v>
      </c>
      <c r="BA65" s="17">
        <f>SUMIF(上月累计工资累计社保和公积金!C:C,C65,上月累计工资累计社保和公积金!K:K)</f>
        <v>9499.92</v>
      </c>
      <c r="BB65" s="17">
        <f t="shared" si="5"/>
        <v>20679.84</v>
      </c>
      <c r="BC65" s="17">
        <f>ROUND(MAX((AZ65-BB65-AP65-AQ65-AR65-AS65-AT65-AU65-AV65)*0.01*{3,10,20,25,30,35,45}-{0,2520,16920,31920,52920,85920,181920},0),2)</f>
        <v>949.74</v>
      </c>
      <c r="BD65" s="17">
        <f>SUMIF(上月累计工资累计社保和公积金!C:C,C65,上月累计工资累计社保和公积金!L:L)</f>
        <v>445.14</v>
      </c>
      <c r="BE65" s="17">
        <f t="shared" si="6"/>
        <v>504.6</v>
      </c>
      <c r="BF65" s="17">
        <f t="shared" si="7"/>
        <v>21475.48</v>
      </c>
      <c r="BG65" s="231"/>
      <c r="BH65" s="232" t="str">
        <f>VLOOKUP(C65,考勤!C:AL,36,0)</f>
        <v>pany@youdoogo.com</v>
      </c>
      <c r="BI65" s="233">
        <f t="shared" si="8"/>
        <v>0</v>
      </c>
      <c r="BJ65" s="236"/>
      <c r="BK65" s="235"/>
      <c r="BL65" s="235"/>
      <c r="BM65" s="235"/>
      <c r="BN65" s="235"/>
    </row>
    <row r="66" s="202" customFormat="1" ht="15.75" customHeight="1" spans="1:66">
      <c r="A66" s="224">
        <f t="shared" si="9"/>
        <v>64</v>
      </c>
      <c r="B66" s="225" t="s">
        <v>101</v>
      </c>
      <c r="C66" s="225" t="s">
        <v>406</v>
      </c>
      <c r="D66" s="225" t="s">
        <v>407</v>
      </c>
      <c r="E66" s="226" t="s">
        <v>104</v>
      </c>
      <c r="F66" s="226" t="s">
        <v>101</v>
      </c>
      <c r="G66" s="226" t="s">
        <v>67</v>
      </c>
      <c r="H66" s="228">
        <v>46185</v>
      </c>
      <c r="I66" s="229"/>
      <c r="J66" s="230" t="s">
        <v>36</v>
      </c>
      <c r="K66" s="226" t="s">
        <v>408</v>
      </c>
      <c r="L66" s="227">
        <v>1</v>
      </c>
      <c r="M66" s="226" t="s">
        <v>36</v>
      </c>
      <c r="N66" s="229" t="s">
        <v>409</v>
      </c>
      <c r="O66" s="229" t="s">
        <v>410</v>
      </c>
      <c r="P66" s="17">
        <v>20000</v>
      </c>
      <c r="Q66" s="17">
        <f>ROUND(SUMIF(其他补发!B:B,$C66,其他补发!D:D),2)</f>
        <v>0</v>
      </c>
      <c r="R66" s="17">
        <f>ROUND(SUMIF(其他补发!B:B,$C66,其他补发!H:H),2)</f>
        <v>0</v>
      </c>
      <c r="S66" s="17">
        <f>ROUND(SUMIF(其他补发!B:B,$C66,其他补发!I:I),2)</f>
        <v>0</v>
      </c>
      <c r="T66" s="17">
        <f>ROUND(SUMIF(其他补发!B:B,$C66,其他补发!E:E),2)</f>
        <v>0</v>
      </c>
      <c r="U66" s="17">
        <f>ROUND((VLOOKUP(C66,考勤!C:H,6,0)+VLOOKUP(C66,考勤!C:O,13,0)+VLOOKUP(C66,考勤!C:P,14,0)*0.3+VLOOKUP(C66,考勤!C:AA,25,0))*(P66+Q66+R66)/21.75,2)+ROUND((VLOOKUP(C66,考勤!C:V,19,0)+VLOOKUP(C66,考勤!C:V,20,0))*(P66+Q66+R66-2520)/21.75,2)</f>
        <v>0</v>
      </c>
      <c r="V66" s="17">
        <f>ROUND(SUMIF(动态表!C:C,C66,动态表!AA:AA)+SUMIFS(其他补发!L:L,其他补发!B:B,C66),2)</f>
        <v>0</v>
      </c>
      <c r="W66" s="17">
        <f>ROUND(VLOOKUP(C66,考勤!C:K,9,0)*P66/21.75/8*2+VLOOKUP(C66,考勤!C:L,10,0)*P66/21.75/8*3,2)+SUMIFS(加班费!$H:$H,加班费!$D:$D,$C66)</f>
        <v>0</v>
      </c>
      <c r="X66" s="17">
        <f>SUMIF(奖金!D:D,C66,奖金!F:F)</f>
        <v>0</v>
      </c>
      <c r="Y66" s="17">
        <f>SUMIF(其他补发!B:B,C66,其他补发!J:J)</f>
        <v>0</v>
      </c>
      <c r="Z66" s="17">
        <f>SUMIF(其他补发!B:B,C66,其他补发!F:F)</f>
        <v>0</v>
      </c>
      <c r="AA66" s="17">
        <f>SUMIF(其他补发!B:B,C66,其他补发!G:G)</f>
        <v>0</v>
      </c>
      <c r="AB66" s="17">
        <f>SUMIF(其他补发!B:B,C66,其他补发!M:M)</f>
        <v>0</v>
      </c>
      <c r="AC66" s="17">
        <f>SUMIF(其他补发!B:B,C66,其他补发!N:N)</f>
        <v>0</v>
      </c>
      <c r="AD66" s="17">
        <f>SUMIF(其他补发!B:B,C66,其他补发!K:K)</f>
        <v>0</v>
      </c>
      <c r="AE66" s="17">
        <f t="shared" si="0"/>
        <v>0</v>
      </c>
      <c r="AF66" s="17">
        <f t="shared" si="1"/>
        <v>20000</v>
      </c>
      <c r="AG66" s="17">
        <f>SUMIF(税后扣款!B:B,C66,税后扣款!E:E)</f>
        <v>0</v>
      </c>
      <c r="AH66" s="17">
        <f>SUMIF(房租水电!A:A,C66,房租水电!C:C)</f>
        <v>0</v>
      </c>
      <c r="AI66" s="17">
        <f>SUMIF(房租水电!A:A,C66,房租水电!D:D)</f>
        <v>0</v>
      </c>
      <c r="AJ66" s="17">
        <f>SUMIF(税后扣款!B:B,C66,税后扣款!D:D)</f>
        <v>-160</v>
      </c>
      <c r="AK66" s="17">
        <f t="shared" si="2"/>
        <v>-160</v>
      </c>
      <c r="AL66" s="17">
        <f>SUMIF(社会保险!D:D,N66,社会保险!I:I)</f>
        <v>1600</v>
      </c>
      <c r="AM66" s="17">
        <f>SUMIF(社会保险!D:D,N66,社会保险!J:J)</f>
        <v>400</v>
      </c>
      <c r="AN66" s="17">
        <f>SUMIF(社会保险!D:D,N66,社会保险!K:K)</f>
        <v>40</v>
      </c>
      <c r="AO66" s="17">
        <f>SUMIF(公积金!C:C,N66,公积金!L:L)</f>
        <v>1200</v>
      </c>
      <c r="AP66" s="17">
        <f>SUMIF(专项扣除!$B:$B,$C66,专项扣除!D:D)</f>
        <v>0</v>
      </c>
      <c r="AQ66" s="17">
        <f>SUMIF(专项扣除!$B:$B,$C66,专项扣除!E:E)</f>
        <v>0</v>
      </c>
      <c r="AR66" s="17">
        <f>SUMIF(专项扣除!$B:$B,$C66,专项扣除!F:F)</f>
        <v>0</v>
      </c>
      <c r="AS66" s="17">
        <f>SUMIF(专项扣除!$B:$B,$C66,专项扣除!G:G)</f>
        <v>0</v>
      </c>
      <c r="AT66" s="17">
        <f>SUMIF(专项扣除!$B:$B,$C66,专项扣除!H:H)</f>
        <v>0</v>
      </c>
      <c r="AU66" s="17">
        <f>SUMIF(专项扣除!$B:$B,$C66,专项扣除!I:I)</f>
        <v>0</v>
      </c>
      <c r="AV66" s="17">
        <f>SUMIF(专项扣除!$B:$B,$C66,专项扣除!J:J)</f>
        <v>0</v>
      </c>
      <c r="AW66" s="17">
        <v>5000</v>
      </c>
      <c r="AX66" s="17">
        <f t="shared" si="3"/>
        <v>8240</v>
      </c>
      <c r="AY66" s="17">
        <f>SUMIF(上月累计工资累计社保和公积金!C:C,C66,上月累计工资累计社保和公积金!E:E)</f>
        <v>11924.14</v>
      </c>
      <c r="AZ66" s="17">
        <f t="shared" si="4"/>
        <v>31924.14</v>
      </c>
      <c r="BA66" s="17">
        <f>SUMIF(上月累计工资累计社保和公积金!C:C,C66,上月累计工资累计社保和公积金!K:K)</f>
        <v>6200</v>
      </c>
      <c r="BB66" s="17">
        <f t="shared" si="5"/>
        <v>14440</v>
      </c>
      <c r="BC66" s="17">
        <f>ROUND(MAX((AZ66-BB66-AP66-AQ66-AR66-AS66-AT66-AU66-AV66)*0.01*{3,10,20,25,30,35,45}-{0,2520,16920,31920,52920,85920,181920},0),2)</f>
        <v>524.52</v>
      </c>
      <c r="BD66" s="17">
        <f>SUMIF(上月累计工资累计社保和公积金!C:C,C66,上月累计工资累计社保和公积金!L:L)</f>
        <v>171.72</v>
      </c>
      <c r="BE66" s="17">
        <f t="shared" si="6"/>
        <v>352.8</v>
      </c>
      <c r="BF66" s="17">
        <f t="shared" si="7"/>
        <v>16567.2</v>
      </c>
      <c r="BG66" s="231"/>
      <c r="BH66" s="232" t="str">
        <f>VLOOKUP(C66,考勤!C:AL,36,0)</f>
        <v>Susie@youdoogo.com</v>
      </c>
      <c r="BI66" s="233">
        <f t="shared" si="8"/>
        <v>0</v>
      </c>
      <c r="BJ66" s="236"/>
      <c r="BK66" s="235"/>
      <c r="BL66" s="235"/>
      <c r="BM66" s="235"/>
      <c r="BN66" s="235"/>
    </row>
    <row r="67" s="202" customFormat="1" ht="15.75" customHeight="1" spans="1:66">
      <c r="A67" s="224">
        <f t="shared" si="9"/>
        <v>65</v>
      </c>
      <c r="B67" s="225" t="s">
        <v>101</v>
      </c>
      <c r="C67" s="225" t="s">
        <v>411</v>
      </c>
      <c r="D67" s="225" t="s">
        <v>412</v>
      </c>
      <c r="E67" s="226" t="s">
        <v>104</v>
      </c>
      <c r="F67" s="226" t="s">
        <v>101</v>
      </c>
      <c r="G67" s="226" t="s">
        <v>64</v>
      </c>
      <c r="H67" s="228">
        <v>46188</v>
      </c>
      <c r="I67" s="229"/>
      <c r="J67" s="230" t="s">
        <v>36</v>
      </c>
      <c r="K67" s="226" t="s">
        <v>413</v>
      </c>
      <c r="L67" s="227">
        <v>1</v>
      </c>
      <c r="M67" s="226" t="s">
        <v>36</v>
      </c>
      <c r="N67" s="229" t="s">
        <v>414</v>
      </c>
      <c r="O67" s="229" t="s">
        <v>415</v>
      </c>
      <c r="P67" s="17">
        <v>19000</v>
      </c>
      <c r="Q67" s="17">
        <f>ROUND(SUMIF(其他补发!B:B,$C67,其他补发!D:D),2)</f>
        <v>0</v>
      </c>
      <c r="R67" s="17">
        <f>ROUND(SUMIF(其他补发!B:B,$C67,其他补发!H:H),2)</f>
        <v>0</v>
      </c>
      <c r="S67" s="17">
        <f>ROUND(SUMIF(其他补发!B:B,$C67,其他补发!I:I),2)</f>
        <v>0</v>
      </c>
      <c r="T67" s="17">
        <f>ROUND(SUMIF(其他补发!B:B,$C67,其他补发!E:E),2)</f>
        <v>0</v>
      </c>
      <c r="U67" s="17">
        <f>ROUND((VLOOKUP(C67,考勤!C:H,6,0)+VLOOKUP(C67,考勤!C:O,13,0)+VLOOKUP(C67,考勤!C:P,14,0)*0.3+VLOOKUP(C67,考勤!C:AA,25,0))*(P67+Q67+R67)/21.75,2)+ROUND((VLOOKUP(C67,考勤!C:V,19,0)+VLOOKUP(C67,考勤!C:V,20,0))*(P67+Q67+R67-2520)/21.75,2)</f>
        <v>0</v>
      </c>
      <c r="V67" s="17">
        <f>ROUND(SUMIF(动态表!C:C,C67,动态表!AA:AA)+SUMIFS(其他补发!L:L,其他补发!B:B,C67),2)</f>
        <v>0</v>
      </c>
      <c r="W67" s="17">
        <f>ROUND(VLOOKUP(C67,考勤!C:K,9,0)*P67/21.75/8*2+VLOOKUP(C67,考勤!C:L,10,0)*P67/21.75/8*3,2)+SUMIFS(加班费!$H:$H,加班费!$D:$D,$C67)</f>
        <v>0</v>
      </c>
      <c r="X67" s="17">
        <f>SUMIF(奖金!D:D,C67,奖金!F:F)</f>
        <v>0</v>
      </c>
      <c r="Y67" s="17">
        <f>SUMIF(其他补发!B:B,C67,其他补发!J:J)</f>
        <v>0</v>
      </c>
      <c r="Z67" s="17">
        <f>SUMIF(其他补发!B:B,C67,其他补发!F:F)</f>
        <v>0</v>
      </c>
      <c r="AA67" s="17">
        <f>SUMIF(其他补发!B:B,C67,其他补发!G:G)</f>
        <v>0</v>
      </c>
      <c r="AB67" s="17">
        <f>SUMIF(其他补发!B:B,C67,其他补发!M:M)</f>
        <v>0</v>
      </c>
      <c r="AC67" s="17">
        <f>SUMIF(其他补发!B:B,C67,其他补发!N:N)</f>
        <v>0</v>
      </c>
      <c r="AD67" s="17">
        <f>SUMIF(其他补发!B:B,C67,其他补发!K:K)</f>
        <v>0</v>
      </c>
      <c r="AE67" s="17">
        <f t="shared" ref="AE67:AE83" si="10">AD67+AC67+AB67+AA67+Z67+Y67+X67+W67</f>
        <v>0</v>
      </c>
      <c r="AF67" s="17">
        <f t="shared" ref="AF67:AF83" si="11">ROUND((P67+Q67+R67+S67+T67-U67-V67+AE67),2)</f>
        <v>19000</v>
      </c>
      <c r="AG67" s="17">
        <f>SUMIF(税后扣款!B:B,C67,税后扣款!E:E)</f>
        <v>0</v>
      </c>
      <c r="AH67" s="17">
        <f>SUMIF(房租水电!A:A,C67,房租水电!C:C)</f>
        <v>0</v>
      </c>
      <c r="AI67" s="17">
        <f>SUMIF(房租水电!A:A,C67,房租水电!D:D)</f>
        <v>0</v>
      </c>
      <c r="AJ67" s="17">
        <f>SUMIF(税后扣款!B:B,C67,税后扣款!D:D)</f>
        <v>-160</v>
      </c>
      <c r="AK67" s="17">
        <f t="shared" ref="AK67:AK83" si="12">AJ67+AI67+AH67+AG67</f>
        <v>-160</v>
      </c>
      <c r="AL67" s="17">
        <f>SUMIF(社会保险!D:D,N67,社会保险!I:I)</f>
        <v>1520</v>
      </c>
      <c r="AM67" s="17">
        <f>SUMIF(社会保险!D:D,N67,社会保险!J:J)</f>
        <v>380</v>
      </c>
      <c r="AN67" s="17">
        <f>SUMIF(社会保险!D:D,N67,社会保险!K:K)</f>
        <v>38</v>
      </c>
      <c r="AO67" s="17">
        <f>SUMIF(公积金!C:C,N67,公积金!L:L)</f>
        <v>1140</v>
      </c>
      <c r="AP67" s="17">
        <f>SUMIF(专项扣除!$B:$B,$C67,专项扣除!D:D)</f>
        <v>0</v>
      </c>
      <c r="AQ67" s="17">
        <f>SUMIF(专项扣除!$B:$B,$C67,专项扣除!E:E)</f>
        <v>0</v>
      </c>
      <c r="AR67" s="17">
        <f>SUMIF(专项扣除!$B:$B,$C67,专项扣除!F:F)</f>
        <v>0</v>
      </c>
      <c r="AS67" s="17">
        <f>SUMIF(专项扣除!$B:$B,$C67,专项扣除!G:G)</f>
        <v>0</v>
      </c>
      <c r="AT67" s="17">
        <f>SUMIF(专项扣除!$B:$B,$C67,专项扣除!H:H)</f>
        <v>0</v>
      </c>
      <c r="AU67" s="17">
        <f>SUMIF(专项扣除!$B:$B,$C67,专项扣除!I:I)</f>
        <v>0</v>
      </c>
      <c r="AV67" s="17">
        <f>SUMIF(专项扣除!$B:$B,$C67,专项扣除!J:J)</f>
        <v>0</v>
      </c>
      <c r="AW67" s="17">
        <v>5000</v>
      </c>
      <c r="AX67" s="17">
        <f t="shared" ref="AX67:AX83" si="13">AL67+AM67+AN67+AO67+AW67</f>
        <v>8078</v>
      </c>
      <c r="AY67" s="17">
        <f>SUMIF(上月累计工资累计社保和公积金!C:C,C67,上月累计工资累计社保和公积金!E:E)</f>
        <v>10464.37</v>
      </c>
      <c r="AZ67" s="17">
        <f t="shared" ref="AZ67:AZ83" si="14">IF(E67="实习人员",(AY67+AF67)*80%,AY67+AF67)</f>
        <v>29464.37</v>
      </c>
      <c r="BA67" s="17">
        <f>SUMIF(上月累计工资累计社保和公积金!C:C,C67,上月累计工资累计社保和公积金!K:K)</f>
        <v>8078</v>
      </c>
      <c r="BB67" s="17">
        <f t="shared" ref="BB67:BB83" si="15">BA67+AX67</f>
        <v>16156</v>
      </c>
      <c r="BC67" s="17">
        <f>ROUND(MAX((AZ67-BB67-AP67-AQ67-AR67-AS67-AT67-AU67-AV67)*0.01*{3,10,20,25,30,35,45}-{0,2520,16920,31920,52920,85920,181920},0),2)</f>
        <v>399.25</v>
      </c>
      <c r="BD67" s="17">
        <f>SUMIF(上月累计工资累计社保和公积金!C:C,C67,上月累计工资累计社保和公积金!L:L)</f>
        <v>71.59</v>
      </c>
      <c r="BE67" s="17">
        <f t="shared" ref="BE67:BE83" si="16">IF((BC67-BD67)&lt;0,0,((BC67-BD67)))</f>
        <v>327.66</v>
      </c>
      <c r="BF67" s="17">
        <f t="shared" ref="BF67:BF83" si="17">ROUND((AF67-AK67-BE67-AL67-AM67-AN67-AO67),2)</f>
        <v>15754.34</v>
      </c>
      <c r="BG67" s="231"/>
      <c r="BH67" s="232" t="str">
        <f>VLOOKUP(C67,考勤!C:AL,36,0)</f>
        <v> ryan@youdoogo.com</v>
      </c>
      <c r="BI67" s="233">
        <f t="shared" ref="BI67:BI83" si="18">P67+Q67+R67+S67+T67-U67-V67+W67+X67+Y67+Z67+AA67+AB67+AC67+AD67-AG67-AH67-AI67-AJ67-AL67-AM67-AN67-AO67-BE67-BF67</f>
        <v>0</v>
      </c>
      <c r="BJ67" s="236"/>
      <c r="BK67" s="235"/>
      <c r="BL67" s="235"/>
      <c r="BM67" s="235"/>
      <c r="BN67" s="235"/>
    </row>
    <row r="68" s="202" customFormat="1" ht="15.75" customHeight="1" spans="1:66">
      <c r="A68" s="224">
        <f t="shared" si="9"/>
        <v>66</v>
      </c>
      <c r="B68" s="225" t="s">
        <v>101</v>
      </c>
      <c r="C68" s="225" t="s">
        <v>416</v>
      </c>
      <c r="D68" s="225" t="s">
        <v>417</v>
      </c>
      <c r="E68" s="226" t="s">
        <v>104</v>
      </c>
      <c r="F68" s="226" t="s">
        <v>101</v>
      </c>
      <c r="G68" s="226" t="s">
        <v>63</v>
      </c>
      <c r="H68" s="228">
        <v>46188</v>
      </c>
      <c r="I68" s="229"/>
      <c r="J68" s="230" t="s">
        <v>36</v>
      </c>
      <c r="K68" s="226" t="s">
        <v>303</v>
      </c>
      <c r="L68" s="227">
        <v>1</v>
      </c>
      <c r="M68" s="226" t="s">
        <v>36</v>
      </c>
      <c r="N68" s="229" t="s">
        <v>418</v>
      </c>
      <c r="O68" s="229" t="s">
        <v>419</v>
      </c>
      <c r="P68" s="17">
        <v>20000</v>
      </c>
      <c r="Q68" s="17">
        <f>ROUND(SUMIF(其他补发!B:B,$C68,其他补发!D:D),2)</f>
        <v>0</v>
      </c>
      <c r="R68" s="17">
        <f>ROUND(SUMIF(其他补发!B:B,$C68,其他补发!H:H),2)</f>
        <v>0</v>
      </c>
      <c r="S68" s="17">
        <f>ROUND(SUMIF(其他补发!B:B,$C68,其他补发!I:I),2)</f>
        <v>0</v>
      </c>
      <c r="T68" s="17">
        <f>ROUND(SUMIF(其他补发!B:B,$C68,其他补发!E:E),2)</f>
        <v>0</v>
      </c>
      <c r="U68" s="17">
        <f>ROUND((VLOOKUP(C68,考勤!C:H,6,0)+VLOOKUP(C68,考勤!C:O,13,0)+VLOOKUP(C68,考勤!C:P,14,0)*0.3+VLOOKUP(C68,考勤!C:AA,25,0))*(P68+Q68+R68)/21.75,2)+ROUND((VLOOKUP(C68,考勤!C:V,19,0)+VLOOKUP(C68,考勤!C:V,20,0))*(P68+Q68+R68-2520)/21.75,2)</f>
        <v>0</v>
      </c>
      <c r="V68" s="17">
        <f>ROUND(SUMIF(动态表!C:C,C68,动态表!AA:AA)+SUMIFS(其他补发!L:L,其他补发!B:B,C68),2)</f>
        <v>0</v>
      </c>
      <c r="W68" s="17">
        <f>ROUND(VLOOKUP(C68,考勤!C:K,9,0)*P68/21.75/8*2+VLOOKUP(C68,考勤!C:L,10,0)*P68/21.75/8*3,2)+SUMIFS(加班费!$H:$H,加班费!$D:$D,$C68)</f>
        <v>0</v>
      </c>
      <c r="X68" s="17">
        <f>SUMIF(奖金!D:D,C68,奖金!F:F)</f>
        <v>0</v>
      </c>
      <c r="Y68" s="17">
        <f>SUMIF(其他补发!B:B,C68,其他补发!J:J)</f>
        <v>0</v>
      </c>
      <c r="Z68" s="17">
        <f>SUMIF(其他补发!B:B,C68,其他补发!F:F)</f>
        <v>0</v>
      </c>
      <c r="AA68" s="17">
        <f>SUMIF(其他补发!B:B,C68,其他补发!G:G)</f>
        <v>0</v>
      </c>
      <c r="AB68" s="17">
        <f>SUMIF(其他补发!B:B,C68,其他补发!M:M)</f>
        <v>0</v>
      </c>
      <c r="AC68" s="17">
        <f>SUMIF(其他补发!B:B,C68,其他补发!N:N)</f>
        <v>0</v>
      </c>
      <c r="AD68" s="17">
        <f>SUMIF(其他补发!B:B,C68,其他补发!K:K)</f>
        <v>0</v>
      </c>
      <c r="AE68" s="17">
        <f t="shared" si="10"/>
        <v>0</v>
      </c>
      <c r="AF68" s="17">
        <f t="shared" si="11"/>
        <v>20000</v>
      </c>
      <c r="AG68" s="17">
        <f>SUMIF(税后扣款!B:B,C68,税后扣款!E:E)</f>
        <v>0</v>
      </c>
      <c r="AH68" s="17">
        <f>SUMIF(房租水电!A:A,C68,房租水电!C:C)</f>
        <v>0</v>
      </c>
      <c r="AI68" s="17">
        <f>SUMIF(房租水电!A:A,C68,房租水电!D:D)</f>
        <v>0</v>
      </c>
      <c r="AJ68" s="17">
        <f>SUMIF(税后扣款!B:B,C68,税后扣款!D:D)</f>
        <v>0</v>
      </c>
      <c r="AK68" s="17">
        <f t="shared" si="12"/>
        <v>0</v>
      </c>
      <c r="AL68" s="17">
        <f>SUMIF(社会保险!D:D,N68,社会保险!I:I)</f>
        <v>1600</v>
      </c>
      <c r="AM68" s="17">
        <f>SUMIF(社会保险!D:D,N68,社会保险!J:J)</f>
        <v>400</v>
      </c>
      <c r="AN68" s="17">
        <f>SUMIF(社会保险!D:D,N68,社会保险!K:K)</f>
        <v>40</v>
      </c>
      <c r="AO68" s="17">
        <f>SUMIF(公积金!C:C,N68,公积金!L:L)</f>
        <v>1200</v>
      </c>
      <c r="AP68" s="17">
        <f>SUMIF(专项扣除!$B:$B,$C68,专项扣除!D:D)</f>
        <v>0</v>
      </c>
      <c r="AQ68" s="17">
        <f>SUMIF(专项扣除!$B:$B,$C68,专项扣除!E:E)</f>
        <v>0</v>
      </c>
      <c r="AR68" s="17">
        <f>SUMIF(专项扣除!$B:$B,$C68,专项扣除!F:F)</f>
        <v>0</v>
      </c>
      <c r="AS68" s="17">
        <f>SUMIF(专项扣除!$B:$B,$C68,专项扣除!G:G)</f>
        <v>0</v>
      </c>
      <c r="AT68" s="17">
        <f>SUMIF(专项扣除!$B:$B,$C68,专项扣除!H:H)</f>
        <v>0</v>
      </c>
      <c r="AU68" s="17">
        <f>SUMIF(专项扣除!$B:$B,$C68,专项扣除!I:I)</f>
        <v>0</v>
      </c>
      <c r="AV68" s="17">
        <f>SUMIF(专项扣除!$B:$B,$C68,专项扣除!J:J)</f>
        <v>0</v>
      </c>
      <c r="AW68" s="17">
        <v>5000</v>
      </c>
      <c r="AX68" s="17">
        <f t="shared" si="13"/>
        <v>8240</v>
      </c>
      <c r="AY68" s="17">
        <f>SUMIF(上月累计工资累计社保和公积金!C:C,C68,上月累计工资累计社保和公积金!E:E)</f>
        <v>11004.6</v>
      </c>
      <c r="AZ68" s="17">
        <f t="shared" si="14"/>
        <v>31004.6</v>
      </c>
      <c r="BA68" s="17">
        <f>SUMIF(上月累计工资累计社保和公积金!C:C,C68,上月累计工资累计社保和公积金!K:K)</f>
        <v>8240</v>
      </c>
      <c r="BB68" s="17">
        <f t="shared" si="15"/>
        <v>16480</v>
      </c>
      <c r="BC68" s="17">
        <f>ROUND(MAX((AZ68-BB68-AP68-AQ68-AR68-AS68-AT68-AU68-AV68)*0.01*{3,10,20,25,30,35,45}-{0,2520,16920,31920,52920,85920,181920},0),2)</f>
        <v>435.74</v>
      </c>
      <c r="BD68" s="17">
        <f>SUMIF(上月累计工资累计社保和公积金!C:C,C68,上月累计工资累计社保和公积金!L:L)</f>
        <v>82.94</v>
      </c>
      <c r="BE68" s="17">
        <f t="shared" si="16"/>
        <v>352.8</v>
      </c>
      <c r="BF68" s="17">
        <f t="shared" si="17"/>
        <v>16407.2</v>
      </c>
      <c r="BG68" s="231"/>
      <c r="BH68" s="232" t="str">
        <f>VLOOKUP(C68,考勤!C:AL,36,0)</f>
        <v>kevin@youdoogo.com</v>
      </c>
      <c r="BI68" s="233">
        <f t="shared" si="18"/>
        <v>0</v>
      </c>
      <c r="BJ68" s="236"/>
      <c r="BK68" s="235"/>
      <c r="BL68" s="235"/>
      <c r="BM68" s="235"/>
      <c r="BN68" s="235"/>
    </row>
    <row r="69" s="202" customFormat="1" ht="15.75" customHeight="1" spans="1:66">
      <c r="A69" s="224">
        <f t="shared" si="9"/>
        <v>67</v>
      </c>
      <c r="B69" s="225" t="s">
        <v>101</v>
      </c>
      <c r="C69" s="225" t="s">
        <v>420</v>
      </c>
      <c r="D69" s="225" t="s">
        <v>421</v>
      </c>
      <c r="E69" s="226" t="s">
        <v>104</v>
      </c>
      <c r="F69" s="226" t="s">
        <v>101</v>
      </c>
      <c r="G69" s="226" t="s">
        <v>65</v>
      </c>
      <c r="H69" s="228">
        <v>46195</v>
      </c>
      <c r="I69" s="229"/>
      <c r="J69" s="230" t="s">
        <v>36</v>
      </c>
      <c r="K69" s="226" t="s">
        <v>422</v>
      </c>
      <c r="L69" s="227">
        <v>1</v>
      </c>
      <c r="M69" s="226" t="s">
        <v>36</v>
      </c>
      <c r="N69" s="229" t="s">
        <v>423</v>
      </c>
      <c r="O69" s="229" t="s">
        <v>424</v>
      </c>
      <c r="P69" s="17">
        <v>40000</v>
      </c>
      <c r="Q69" s="17">
        <f>ROUND(SUMIF(其他补发!B:B,$C69,其他补发!D:D),2)</f>
        <v>0</v>
      </c>
      <c r="R69" s="17">
        <f>ROUND(SUMIF(其他补发!B:B,$C69,其他补发!H:H),2)</f>
        <v>0</v>
      </c>
      <c r="S69" s="17">
        <f>ROUND(SUMIF(其他补发!B:B,$C69,其他补发!I:I),2)</f>
        <v>0</v>
      </c>
      <c r="T69" s="17">
        <f>ROUND(SUMIF(其他补发!B:B,$C69,其他补发!E:E),2)</f>
        <v>0</v>
      </c>
      <c r="U69" s="17">
        <f>ROUND((VLOOKUP(C69,考勤!C:H,6,0)+VLOOKUP(C69,考勤!C:O,13,0)+VLOOKUP(C69,考勤!C:P,14,0)*0.3+VLOOKUP(C69,考勤!C:AA,25,0))*(P69+Q69+R69)/21.75,2)+ROUND((VLOOKUP(C69,考勤!C:V,19,0)+VLOOKUP(C69,考勤!C:V,20,0))*(P69+Q69+R69-2520)/21.75,2)</f>
        <v>0</v>
      </c>
      <c r="V69" s="17">
        <f>ROUND(SUMIF(动态表!C:C,C69,动态表!AA:AA)+SUMIFS(其他补发!L:L,其他补发!B:B,C69),2)</f>
        <v>0</v>
      </c>
      <c r="W69" s="17">
        <f>ROUND(VLOOKUP(C69,考勤!C:K,9,0)*P69/21.75/8*2+VLOOKUP(C69,考勤!C:L,10,0)*P69/21.75/8*3,2)+SUMIFS(加班费!$H:$H,加班费!$D:$D,$C69)</f>
        <v>0</v>
      </c>
      <c r="X69" s="17">
        <f>SUMIF(奖金!D:D,C69,奖金!F:F)</f>
        <v>0</v>
      </c>
      <c r="Y69" s="17">
        <f>SUMIF(其他补发!B:B,C69,其他补发!J:J)</f>
        <v>0</v>
      </c>
      <c r="Z69" s="17">
        <f>SUMIF(其他补发!B:B,C69,其他补发!F:F)</f>
        <v>0</v>
      </c>
      <c r="AA69" s="17">
        <f>SUMIF(其他补发!B:B,C69,其他补发!G:G)</f>
        <v>0</v>
      </c>
      <c r="AB69" s="17">
        <f>SUMIF(其他补发!B:B,C69,其他补发!M:M)</f>
        <v>0</v>
      </c>
      <c r="AC69" s="17">
        <f>SUMIF(其他补发!B:B,C69,其他补发!N:N)</f>
        <v>0</v>
      </c>
      <c r="AD69" s="17">
        <f>SUMIF(其他补发!B:B,C69,其他补发!K:K)</f>
        <v>0</v>
      </c>
      <c r="AE69" s="17">
        <f t="shared" si="10"/>
        <v>0</v>
      </c>
      <c r="AF69" s="17">
        <f t="shared" si="11"/>
        <v>40000</v>
      </c>
      <c r="AG69" s="17">
        <f>SUMIF(税后扣款!B:B,C69,税后扣款!E:E)</f>
        <v>0</v>
      </c>
      <c r="AH69" s="17">
        <f>SUMIF(房租水电!A:A,C69,房租水电!C:C)</f>
        <v>0</v>
      </c>
      <c r="AI69" s="17">
        <f>SUMIF(房租水电!A:A,C69,房租水电!D:D)</f>
        <v>0</v>
      </c>
      <c r="AJ69" s="17">
        <f>SUMIF(税后扣款!B:B,C69,税后扣款!D:D)</f>
        <v>0</v>
      </c>
      <c r="AK69" s="17">
        <f t="shared" si="12"/>
        <v>0</v>
      </c>
      <c r="AL69" s="17">
        <f>SUMIF(社会保险!D:D,N69,社会保险!I:I)</f>
        <v>2203.92</v>
      </c>
      <c r="AM69" s="17">
        <f>SUMIF(社会保险!D:D,N69,社会保险!J:J)</f>
        <v>672.66</v>
      </c>
      <c r="AN69" s="17">
        <f>SUMIF(社会保险!D:D,N69,社会保险!K:K)</f>
        <v>80</v>
      </c>
      <c r="AO69" s="17">
        <f>SUMIF(公积金!C:C,N69,公积金!L:L)</f>
        <v>2400</v>
      </c>
      <c r="AP69" s="17">
        <f>SUMIF(专项扣除!$B:$B,$C69,专项扣除!D:D)</f>
        <v>0</v>
      </c>
      <c r="AQ69" s="17">
        <f>SUMIF(专项扣除!$B:$B,$C69,专项扣除!E:E)</f>
        <v>0</v>
      </c>
      <c r="AR69" s="17">
        <f>SUMIF(专项扣除!$B:$B,$C69,专项扣除!F:F)</f>
        <v>0</v>
      </c>
      <c r="AS69" s="17">
        <f>SUMIF(专项扣除!$B:$B,$C69,专项扣除!G:G)</f>
        <v>0</v>
      </c>
      <c r="AT69" s="17">
        <f>SUMIF(专项扣除!$B:$B,$C69,专项扣除!H:H)</f>
        <v>0</v>
      </c>
      <c r="AU69" s="17">
        <f>SUMIF(专项扣除!$B:$B,$C69,专项扣除!I:I)</f>
        <v>0</v>
      </c>
      <c r="AV69" s="17">
        <f>SUMIF(专项扣除!$B:$B,$C69,专项扣除!J:J)</f>
        <v>0</v>
      </c>
      <c r="AW69" s="17">
        <v>5000</v>
      </c>
      <c r="AX69" s="17">
        <f t="shared" si="13"/>
        <v>10356.58</v>
      </c>
      <c r="AY69" s="17">
        <f>SUMIF(上月累计工资累计社保和公积金!C:C,C69,上月累计工资累计社保和公积金!E:E)</f>
        <v>13073.56</v>
      </c>
      <c r="AZ69" s="17">
        <f t="shared" si="14"/>
        <v>53073.56</v>
      </c>
      <c r="BA69" s="17">
        <f>SUMIF(上月累计工资累计社保和公积金!C:C,C69,上月累计工资累计社保和公积金!K:K)</f>
        <v>5000</v>
      </c>
      <c r="BB69" s="17">
        <f t="shared" si="15"/>
        <v>15356.58</v>
      </c>
      <c r="BC69" s="17">
        <f>ROUND(MAX((AZ69-BB69-AP69-AQ69-AR69-AS69-AT69-AU69-AV69)*0.01*{3,10,20,25,30,35,45}-{0,2520,16920,31920,52920,85920,181920},0),2)</f>
        <v>1251.7</v>
      </c>
      <c r="BD69" s="17">
        <f>SUMIF(上月累计工资累计社保和公积金!C:C,C69,上月累计工资累计社保和公积金!L:L)</f>
        <v>242.21</v>
      </c>
      <c r="BE69" s="17">
        <f t="shared" si="16"/>
        <v>1009.49</v>
      </c>
      <c r="BF69" s="17">
        <f t="shared" si="17"/>
        <v>33633.93</v>
      </c>
      <c r="BG69" s="231"/>
      <c r="BH69" s="232" t="str">
        <f>VLOOKUP(C69,考勤!C:AL,36,0)</f>
        <v>leonhan@youdoogo.com</v>
      </c>
      <c r="BI69" s="233">
        <f t="shared" si="18"/>
        <v>0</v>
      </c>
      <c r="BJ69" s="236"/>
      <c r="BK69" s="235"/>
      <c r="BL69" s="235"/>
      <c r="BM69" s="235"/>
      <c r="BN69" s="235"/>
    </row>
    <row r="70" s="202" customFormat="1" ht="15.75" customHeight="1" spans="1:66">
      <c r="A70" s="224">
        <f t="shared" si="9"/>
        <v>68</v>
      </c>
      <c r="B70" s="225" t="s">
        <v>101</v>
      </c>
      <c r="C70" s="225" t="s">
        <v>425</v>
      </c>
      <c r="D70" s="225" t="s">
        <v>426</v>
      </c>
      <c r="E70" s="226" t="s">
        <v>104</v>
      </c>
      <c r="F70" s="226" t="s">
        <v>101</v>
      </c>
      <c r="G70" s="226" t="s">
        <v>63</v>
      </c>
      <c r="H70" s="228">
        <v>46198</v>
      </c>
      <c r="I70" s="229"/>
      <c r="J70" s="230" t="s">
        <v>36</v>
      </c>
      <c r="K70" s="226" t="s">
        <v>427</v>
      </c>
      <c r="L70" s="227">
        <v>1</v>
      </c>
      <c r="M70" s="226" t="s">
        <v>36</v>
      </c>
      <c r="N70" s="229" t="s">
        <v>428</v>
      </c>
      <c r="O70" s="229" t="s">
        <v>429</v>
      </c>
      <c r="P70" s="17">
        <v>19000</v>
      </c>
      <c r="Q70" s="17">
        <f>ROUND(SUMIF(其他补发!B:B,$C70,其他补发!D:D),2)</f>
        <v>0</v>
      </c>
      <c r="R70" s="17">
        <f>ROUND(SUMIF(其他补发!B:B,$C70,其他补发!H:H),2)</f>
        <v>0</v>
      </c>
      <c r="S70" s="17">
        <f>ROUND(SUMIF(其他补发!B:B,$C70,其他补发!I:I),2)</f>
        <v>0</v>
      </c>
      <c r="T70" s="17">
        <f>ROUND(SUMIF(其他补发!B:B,$C70,其他补发!E:E),2)</f>
        <v>0</v>
      </c>
      <c r="U70" s="17">
        <f>ROUND((VLOOKUP(C70,考勤!C:H,6,0)+VLOOKUP(C70,考勤!C:O,13,0)+VLOOKUP(C70,考勤!C:P,14,0)*0.3+VLOOKUP(C70,考勤!C:AA,25,0))*(P70+Q70+R70)/21.75,2)+ROUND((VLOOKUP(C70,考勤!C:V,19,0)+VLOOKUP(C70,考勤!C:V,20,0))*(P70+Q70+R70-2520)/21.75,2)</f>
        <v>0</v>
      </c>
      <c r="V70" s="17">
        <f>ROUND(SUMIF(动态表!C:C,C70,动态表!AA:AA)+SUMIFS(其他补发!L:L,其他补发!B:B,C70),2)</f>
        <v>0</v>
      </c>
      <c r="W70" s="17">
        <f>ROUND(VLOOKUP(C70,考勤!C:K,9,0)*P70/21.75/8*2+VLOOKUP(C70,考勤!C:L,10,0)*P70/21.75/8*3,2)+SUMIFS(加班费!$H:$H,加班费!$D:$D,$C70)</f>
        <v>0</v>
      </c>
      <c r="X70" s="17">
        <f>SUMIF(奖金!D:D,C70,奖金!F:F)</f>
        <v>0</v>
      </c>
      <c r="Y70" s="17">
        <f>SUMIF(其他补发!B:B,C70,其他补发!J:J)</f>
        <v>0</v>
      </c>
      <c r="Z70" s="17">
        <f>SUMIF(其他补发!B:B,C70,其他补发!F:F)</f>
        <v>0</v>
      </c>
      <c r="AA70" s="17">
        <f>SUMIF(其他补发!B:B,C70,其他补发!G:G)</f>
        <v>0</v>
      </c>
      <c r="AB70" s="17">
        <f>SUMIF(其他补发!B:B,C70,其他补发!M:M)</f>
        <v>0</v>
      </c>
      <c r="AC70" s="17">
        <f>SUMIF(其他补发!B:B,C70,其他补发!N:N)</f>
        <v>0</v>
      </c>
      <c r="AD70" s="17">
        <f>SUMIF(其他补发!B:B,C70,其他补发!K:K)</f>
        <v>0</v>
      </c>
      <c r="AE70" s="17">
        <f t="shared" si="10"/>
        <v>0</v>
      </c>
      <c r="AF70" s="17">
        <f t="shared" si="11"/>
        <v>19000</v>
      </c>
      <c r="AG70" s="17">
        <f>SUMIF(税后扣款!B:B,C70,税后扣款!E:E)</f>
        <v>0</v>
      </c>
      <c r="AH70" s="17">
        <f>SUMIF(房租水电!A:A,C70,房租水电!C:C)</f>
        <v>0</v>
      </c>
      <c r="AI70" s="17">
        <f>SUMIF(房租水电!A:A,C70,房租水电!D:D)</f>
        <v>0</v>
      </c>
      <c r="AJ70" s="17">
        <f>SUMIF(税后扣款!B:B,C70,税后扣款!D:D)</f>
        <v>0</v>
      </c>
      <c r="AK70" s="17">
        <f t="shared" si="12"/>
        <v>0</v>
      </c>
      <c r="AL70" s="17">
        <f>SUMIF(社会保险!D:D,N70,社会保险!I:I)</f>
        <v>1520</v>
      </c>
      <c r="AM70" s="17">
        <f>SUMIF(社会保险!D:D,N70,社会保险!J:J)</f>
        <v>380</v>
      </c>
      <c r="AN70" s="17">
        <f>SUMIF(社会保险!D:D,N70,社会保险!K:K)</f>
        <v>38</v>
      </c>
      <c r="AO70" s="17">
        <f>SUMIF(公积金!C:C,N70,公积金!L:L)</f>
        <v>1140</v>
      </c>
      <c r="AP70" s="17">
        <f>SUMIF(专项扣除!$B:$B,$C70,专项扣除!D:D)</f>
        <v>0</v>
      </c>
      <c r="AQ70" s="17">
        <f>SUMIF(专项扣除!$B:$B,$C70,专项扣除!E:E)</f>
        <v>0</v>
      </c>
      <c r="AR70" s="17">
        <f>SUMIF(专项扣除!$B:$B,$C70,专项扣除!F:F)</f>
        <v>0</v>
      </c>
      <c r="AS70" s="17">
        <f>SUMIF(专项扣除!$B:$B,$C70,专项扣除!G:G)</f>
        <v>0</v>
      </c>
      <c r="AT70" s="17">
        <f>SUMIF(专项扣除!$B:$B,$C70,专项扣除!H:H)</f>
        <v>0</v>
      </c>
      <c r="AU70" s="17">
        <f>SUMIF(专项扣除!$B:$B,$C70,专项扣除!I:I)</f>
        <v>0</v>
      </c>
      <c r="AV70" s="17">
        <f>SUMIF(专项扣除!$B:$B,$C70,专项扣除!J:J)</f>
        <v>0</v>
      </c>
      <c r="AW70" s="17">
        <v>5000</v>
      </c>
      <c r="AX70" s="17">
        <f t="shared" si="13"/>
        <v>8078</v>
      </c>
      <c r="AY70" s="17">
        <f>SUMIF(上月累计工资累计社保和公积金!C:C,C70,上月累计工资累计社保和公积金!E:E)</f>
        <v>3694.25</v>
      </c>
      <c r="AZ70" s="17">
        <f t="shared" si="14"/>
        <v>22694.25</v>
      </c>
      <c r="BA70" s="17">
        <f>SUMIF(上月累计工资累计社保和公积金!C:C,C70,上月累计工资累计社保和公积金!K:K)</f>
        <v>5000</v>
      </c>
      <c r="BB70" s="17">
        <f t="shared" si="15"/>
        <v>13078</v>
      </c>
      <c r="BC70" s="17">
        <f>ROUND(MAX((AZ70-BB70-AP70-AQ70-AR70-AS70-AT70-AU70-AV70)*0.01*{3,10,20,25,30,35,45}-{0,2520,16920,31920,52920,85920,181920},0),2)</f>
        <v>288.49</v>
      </c>
      <c r="BD70" s="17">
        <f>SUMIF(上月累计工资累计社保和公积金!C:C,C70,上月累计工资累计社保和公积金!L:L)</f>
        <v>0</v>
      </c>
      <c r="BE70" s="17">
        <f t="shared" si="16"/>
        <v>288.49</v>
      </c>
      <c r="BF70" s="17">
        <f t="shared" si="17"/>
        <v>15633.51</v>
      </c>
      <c r="BG70" s="231"/>
      <c r="BH70" s="232" t="str">
        <f>VLOOKUP(C70,考勤!C:AL,36,0)</f>
        <v>eating@youdoogo.com</v>
      </c>
      <c r="BI70" s="233">
        <f t="shared" si="18"/>
        <v>0</v>
      </c>
      <c r="BJ70" s="236"/>
      <c r="BK70" s="235"/>
      <c r="BL70" s="235"/>
      <c r="BM70" s="235"/>
      <c r="BN70" s="235"/>
    </row>
    <row r="71" s="202" customFormat="1" ht="15.75" customHeight="1" spans="1:66">
      <c r="A71" s="224">
        <f t="shared" si="9"/>
        <v>69</v>
      </c>
      <c r="B71" s="225" t="s">
        <v>101</v>
      </c>
      <c r="C71" s="225" t="s">
        <v>430</v>
      </c>
      <c r="D71" s="225" t="s">
        <v>431</v>
      </c>
      <c r="E71" s="226" t="s">
        <v>104</v>
      </c>
      <c r="F71" s="226" t="s">
        <v>101</v>
      </c>
      <c r="G71" s="226" t="s">
        <v>67</v>
      </c>
      <c r="H71" s="228">
        <v>46199</v>
      </c>
      <c r="I71" s="229"/>
      <c r="J71" s="230" t="s">
        <v>36</v>
      </c>
      <c r="K71" s="226" t="s">
        <v>432</v>
      </c>
      <c r="L71" s="227">
        <v>1</v>
      </c>
      <c r="M71" s="226" t="s">
        <v>36</v>
      </c>
      <c r="N71" s="229" t="s">
        <v>433</v>
      </c>
      <c r="O71" s="229" t="s">
        <v>434</v>
      </c>
      <c r="P71" s="17">
        <v>24000</v>
      </c>
      <c r="Q71" s="17">
        <f>ROUND(SUMIF(其他补发!B:B,$C71,其他补发!D:D),2)</f>
        <v>0</v>
      </c>
      <c r="R71" s="17">
        <f>ROUND(SUMIF(其他补发!B:B,$C71,其他补发!H:H),2)</f>
        <v>0</v>
      </c>
      <c r="S71" s="17">
        <f>ROUND(SUMIF(其他补发!B:B,$C71,其他补发!I:I),2)</f>
        <v>0</v>
      </c>
      <c r="T71" s="17">
        <f>ROUND(SUMIF(其他补发!B:B,$C71,其他补发!E:E),2)</f>
        <v>0</v>
      </c>
      <c r="U71" s="17">
        <f>ROUND((VLOOKUP(C71,考勤!C:H,6,0)+VLOOKUP(C71,考勤!C:O,13,0)+VLOOKUP(C71,考勤!C:P,14,0)*0.3+VLOOKUP(C71,考勤!C:AA,25,0))*(P71+Q71+R71)/21.75,2)+ROUND((VLOOKUP(C71,考勤!C:V,19,0)+VLOOKUP(C71,考勤!C:V,20,0))*(P71+Q71+R71-2520)/21.75,2)</f>
        <v>0</v>
      </c>
      <c r="V71" s="17">
        <f>ROUND(SUMIF(动态表!C:C,C71,动态表!AA:AA)+SUMIFS(其他补发!L:L,其他补发!B:B,C71),2)</f>
        <v>0</v>
      </c>
      <c r="W71" s="17">
        <f>ROUND(VLOOKUP(C71,考勤!C:K,9,0)*P71/21.75/8*2+VLOOKUP(C71,考勤!C:L,10,0)*P71/21.75/8*3,2)+SUMIFS(加班费!$H:$H,加班费!$D:$D,$C71)</f>
        <v>0</v>
      </c>
      <c r="X71" s="17">
        <f>SUMIF(奖金!D:D,C71,奖金!F:F)</f>
        <v>0</v>
      </c>
      <c r="Y71" s="17">
        <f>SUMIF(其他补发!B:B,C71,其他补发!J:J)</f>
        <v>0</v>
      </c>
      <c r="Z71" s="17">
        <f>SUMIF(其他补发!B:B,C71,其他补发!F:F)</f>
        <v>0</v>
      </c>
      <c r="AA71" s="17">
        <f>SUMIF(其他补发!B:B,C71,其他补发!G:G)</f>
        <v>0</v>
      </c>
      <c r="AB71" s="17">
        <f>SUMIF(其他补发!B:B,C71,其他补发!M:M)</f>
        <v>0</v>
      </c>
      <c r="AC71" s="17">
        <f>SUMIF(其他补发!B:B,C71,其他补发!N:N)</f>
        <v>0</v>
      </c>
      <c r="AD71" s="17">
        <f>SUMIF(其他补发!B:B,C71,其他补发!K:K)</f>
        <v>0</v>
      </c>
      <c r="AE71" s="17">
        <f t="shared" si="10"/>
        <v>0</v>
      </c>
      <c r="AF71" s="17">
        <f t="shared" si="11"/>
        <v>24000</v>
      </c>
      <c r="AG71" s="17">
        <f>SUMIF(税后扣款!B:B,C71,税后扣款!E:E)</f>
        <v>0</v>
      </c>
      <c r="AH71" s="17">
        <f>SUMIF(房租水电!A:A,C71,房租水电!C:C)</f>
        <v>0</v>
      </c>
      <c r="AI71" s="17">
        <f>SUMIF(房租水电!A:A,C71,房租水电!D:D)</f>
        <v>0</v>
      </c>
      <c r="AJ71" s="17">
        <f>SUMIF(税后扣款!B:B,C71,税后扣款!D:D)</f>
        <v>-160</v>
      </c>
      <c r="AK71" s="17">
        <f t="shared" si="12"/>
        <v>-160</v>
      </c>
      <c r="AL71" s="17">
        <f>SUMIF(社会保险!D:D,N71,社会保险!I:I)</f>
        <v>1920</v>
      </c>
      <c r="AM71" s="17">
        <f>SUMIF(社会保险!D:D,N71,社会保险!J:J)</f>
        <v>480</v>
      </c>
      <c r="AN71" s="17">
        <f>SUMIF(社会保险!D:D,N71,社会保险!K:K)</f>
        <v>48</v>
      </c>
      <c r="AO71" s="17">
        <f>SUMIF(公积金!C:C,N71,公积金!L:L)</f>
        <v>1440</v>
      </c>
      <c r="AP71" s="17">
        <f>SUMIF(专项扣除!$B:$B,$C71,专项扣除!D:D)</f>
        <v>0</v>
      </c>
      <c r="AQ71" s="17">
        <f>SUMIF(专项扣除!$B:$B,$C71,专项扣除!E:E)</f>
        <v>0</v>
      </c>
      <c r="AR71" s="17">
        <f>SUMIF(专项扣除!$B:$B,$C71,专项扣除!F:F)</f>
        <v>0</v>
      </c>
      <c r="AS71" s="17">
        <f>SUMIF(专项扣除!$B:$B,$C71,专项扣除!G:G)</f>
        <v>0</v>
      </c>
      <c r="AT71" s="17">
        <f>SUMIF(专项扣除!$B:$B,$C71,专项扣除!H:H)</f>
        <v>0</v>
      </c>
      <c r="AU71" s="17">
        <f>SUMIF(专项扣除!$B:$B,$C71,专项扣除!I:I)</f>
        <v>0</v>
      </c>
      <c r="AV71" s="17">
        <f>SUMIF(专项扣除!$B:$B,$C71,专项扣除!J:J)</f>
        <v>0</v>
      </c>
      <c r="AW71" s="17">
        <v>5000</v>
      </c>
      <c r="AX71" s="17">
        <f t="shared" si="13"/>
        <v>8888</v>
      </c>
      <c r="AY71" s="17">
        <f>SUMIF(上月累计工资累计社保和公积金!C:C,C71,上月累计工资累计社保和公积金!E:E)</f>
        <v>3510.34</v>
      </c>
      <c r="AZ71" s="17">
        <f t="shared" si="14"/>
        <v>27510.34</v>
      </c>
      <c r="BA71" s="17">
        <f>SUMIF(上月累计工资累计社保和公积金!C:C,C71,上月累计工资累计社保和公积金!K:K)</f>
        <v>5000</v>
      </c>
      <c r="BB71" s="17">
        <f t="shared" si="15"/>
        <v>13888</v>
      </c>
      <c r="BC71" s="17">
        <f>ROUND(MAX((AZ71-BB71-AP71-AQ71-AR71-AS71-AT71-AU71-AV71)*0.01*{3,10,20,25,30,35,45}-{0,2520,16920,31920,52920,85920,181920},0),2)</f>
        <v>408.67</v>
      </c>
      <c r="BD71" s="17">
        <f>SUMIF(上月累计工资累计社保和公积金!C:C,C71,上月累计工资累计社保和公积金!L:L)</f>
        <v>0</v>
      </c>
      <c r="BE71" s="17">
        <f t="shared" si="16"/>
        <v>408.67</v>
      </c>
      <c r="BF71" s="17">
        <f t="shared" si="17"/>
        <v>19863.33</v>
      </c>
      <c r="BG71" s="231"/>
      <c r="BH71" s="232" t="str">
        <f>VLOOKUP(C71,考勤!C:AL,36,0)</f>
        <v>Amy@youdoogo.com</v>
      </c>
      <c r="BI71" s="233">
        <f t="shared" si="18"/>
        <v>0</v>
      </c>
      <c r="BJ71" s="236"/>
      <c r="BK71" s="235"/>
      <c r="BL71" s="235"/>
      <c r="BM71" s="235"/>
      <c r="BN71" s="235"/>
    </row>
    <row r="72" s="202" customFormat="1" ht="15.75" customHeight="1" spans="1:66">
      <c r="A72" s="224">
        <f t="shared" si="9"/>
        <v>70</v>
      </c>
      <c r="B72" s="225" t="s">
        <v>101</v>
      </c>
      <c r="C72" s="225" t="s">
        <v>435</v>
      </c>
      <c r="D72" s="225" t="s">
        <v>436</v>
      </c>
      <c r="E72" s="226" t="s">
        <v>312</v>
      </c>
      <c r="F72" s="226" t="s">
        <v>101</v>
      </c>
      <c r="G72" s="227" t="s">
        <v>66</v>
      </c>
      <c r="H72" s="228">
        <v>46199</v>
      </c>
      <c r="I72" s="229"/>
      <c r="J72" s="230" t="s">
        <v>33</v>
      </c>
      <c r="K72" s="226" t="s">
        <v>437</v>
      </c>
      <c r="L72" s="227">
        <v>1</v>
      </c>
      <c r="M72" s="226" t="s">
        <v>33</v>
      </c>
      <c r="N72" s="229" t="s">
        <v>438</v>
      </c>
      <c r="O72" s="229" t="s">
        <v>439</v>
      </c>
      <c r="P72" s="17">
        <v>4000</v>
      </c>
      <c r="Q72" s="17">
        <f>ROUND(SUMIF(其他补发!B:B,$C72,其他补发!D:D),2)</f>
        <v>0</v>
      </c>
      <c r="R72" s="17">
        <f>ROUND(SUMIF(其他补发!B:B,$C72,其他补发!H:H),2)</f>
        <v>0</v>
      </c>
      <c r="S72" s="17">
        <f>ROUND(SUMIF(其他补发!B:B,$C72,其他补发!I:I),2)</f>
        <v>0</v>
      </c>
      <c r="T72" s="17">
        <f>ROUND(SUMIF(其他补发!B:B,$C72,其他补发!E:E),2)</f>
        <v>0</v>
      </c>
      <c r="U72" s="17">
        <f>ROUND((VLOOKUP(C72,考勤!C:H,6,0)+VLOOKUP(C72,考勤!C:O,13,0)+VLOOKUP(C72,考勤!C:P,14,0)*0.3+VLOOKUP(C72,考勤!C:AA,25,0))*(P72+Q72+R72)/21.75,2)+ROUND((VLOOKUP(C72,考勤!C:V,19,0)+VLOOKUP(C72,考勤!C:V,20,0))*(P72+Q72+R72-2520)/21.75,2)</f>
        <v>183.91</v>
      </c>
      <c r="V72" s="17">
        <f>ROUND(SUMIF(动态表!C:C,C72,动态表!AA:AA)+SUMIFS(其他补发!L:L,其他补发!B:B,C72),2)</f>
        <v>0</v>
      </c>
      <c r="W72" s="17">
        <f>ROUND(VLOOKUP(C72,考勤!C:K,9,0)*P72/21.75/8*2+VLOOKUP(C72,考勤!C:L,10,0)*P72/21.75/8*3,2)+SUMIFS(加班费!$H:$H,加班费!$D:$D,$C72)</f>
        <v>0</v>
      </c>
      <c r="X72" s="17">
        <f>SUMIF(奖金!D:D,C72,奖金!F:F)</f>
        <v>0</v>
      </c>
      <c r="Y72" s="17">
        <f>SUMIF(其他补发!B:B,C72,其他补发!J:J)</f>
        <v>0</v>
      </c>
      <c r="Z72" s="17">
        <f>SUMIF(其他补发!B:B,C72,其他补发!F:F)</f>
        <v>0</v>
      </c>
      <c r="AA72" s="17">
        <f>SUMIF(其他补发!B:B,C72,其他补发!G:G)</f>
        <v>0</v>
      </c>
      <c r="AB72" s="17">
        <f>SUMIF(其他补发!B:B,C72,其他补发!M:M)</f>
        <v>0</v>
      </c>
      <c r="AC72" s="17">
        <f>SUMIF(其他补发!B:B,C72,其他补发!N:N)</f>
        <v>0</v>
      </c>
      <c r="AD72" s="17">
        <f>SUMIF(其他补发!B:B,C72,其他补发!K:K)</f>
        <v>0</v>
      </c>
      <c r="AE72" s="17">
        <f t="shared" si="10"/>
        <v>0</v>
      </c>
      <c r="AF72" s="17">
        <f t="shared" si="11"/>
        <v>3816.09</v>
      </c>
      <c r="AG72" s="17">
        <f>SUMIF(税后扣款!B:B,C72,税后扣款!E:E)</f>
        <v>0</v>
      </c>
      <c r="AH72" s="17">
        <f>SUMIF(房租水电!A:A,C72,房租水电!C:C)</f>
        <v>0</v>
      </c>
      <c r="AI72" s="17">
        <f>SUMIF(房租水电!A:A,C72,房租水电!D:D)</f>
        <v>0</v>
      </c>
      <c r="AJ72" s="17">
        <f>SUMIF(税后扣款!B:B,C72,税后扣款!D:D)</f>
        <v>-160</v>
      </c>
      <c r="AK72" s="17">
        <f t="shared" si="12"/>
        <v>-160</v>
      </c>
      <c r="AL72" s="17">
        <f>SUMIF(社会保险!D:D,N72,社会保险!I:I)</f>
        <v>0</v>
      </c>
      <c r="AM72" s="17">
        <f>SUMIF(社会保险!D:D,N72,社会保险!J:J)</f>
        <v>0</v>
      </c>
      <c r="AN72" s="17">
        <f>SUMIF(社会保险!D:D,N72,社会保险!K:K)</f>
        <v>0</v>
      </c>
      <c r="AO72" s="17">
        <f>SUMIF(公积金!C:C,N72,公积金!L:L)</f>
        <v>0</v>
      </c>
      <c r="AP72" s="17">
        <f>SUMIF(专项扣除!$B:$B,$C72,专项扣除!D:D)</f>
        <v>0</v>
      </c>
      <c r="AQ72" s="17">
        <f>SUMIF(专项扣除!$B:$B,$C72,专项扣除!E:E)</f>
        <v>0</v>
      </c>
      <c r="AR72" s="17">
        <f>SUMIF(专项扣除!$B:$B,$C72,专项扣除!F:F)</f>
        <v>0</v>
      </c>
      <c r="AS72" s="17">
        <f>SUMIF(专项扣除!$B:$B,$C72,专项扣除!G:G)</f>
        <v>0</v>
      </c>
      <c r="AT72" s="17">
        <f>SUMIF(专项扣除!$B:$B,$C72,专项扣除!H:H)</f>
        <v>0</v>
      </c>
      <c r="AU72" s="17">
        <f>SUMIF(专项扣除!$B:$B,$C72,专项扣除!I:I)</f>
        <v>0</v>
      </c>
      <c r="AV72" s="17">
        <f>SUMIF(专项扣除!$B:$B,$C72,专项扣除!J:J)</f>
        <v>0</v>
      </c>
      <c r="AW72" s="17">
        <v>5000</v>
      </c>
      <c r="AX72" s="17">
        <f t="shared" si="13"/>
        <v>5000</v>
      </c>
      <c r="AY72" s="17">
        <f>SUMIF(上月累计工资累计社保和公积金!C:C,C72,上月累计工资累计社保和公积金!E:E)</f>
        <v>751.72</v>
      </c>
      <c r="AZ72" s="17">
        <f t="shared" si="14"/>
        <v>3654.248</v>
      </c>
      <c r="BA72" s="17">
        <f>SUMIF(上月累计工资累计社保和公积金!C:C,C72,上月累计工资累计社保和公积金!K:K)</f>
        <v>5000</v>
      </c>
      <c r="BB72" s="17">
        <f t="shared" si="15"/>
        <v>10000</v>
      </c>
      <c r="BC72" s="17">
        <f>ROUND(MAX((AZ72-BB72-AP72-AQ72-AR72-AS72-AT72-AU72-AV72)*0.01*{3,10,20,25,30,35,45}-{0,2520,16920,31920,52920,85920,181920},0),2)</f>
        <v>0</v>
      </c>
      <c r="BD72" s="17">
        <f>SUMIF(上月累计工资累计社保和公积金!C:C,C72,上月累计工资累计社保和公积金!L:L)</f>
        <v>0</v>
      </c>
      <c r="BE72" s="17">
        <f t="shared" si="16"/>
        <v>0</v>
      </c>
      <c r="BF72" s="17">
        <f t="shared" si="17"/>
        <v>3976.09</v>
      </c>
      <c r="BG72" s="231"/>
      <c r="BH72" s="232" t="str">
        <f>VLOOKUP(C72,考勤!C:AL,36,0)</f>
        <v>Parry@youdoogo.com</v>
      </c>
      <c r="BI72" s="233">
        <f t="shared" si="18"/>
        <v>0</v>
      </c>
      <c r="BJ72" s="236"/>
      <c r="BK72" s="235"/>
      <c r="BL72" s="235"/>
      <c r="BM72" s="235"/>
      <c r="BN72" s="235"/>
    </row>
    <row r="73" s="202" customFormat="1" ht="15.75" customHeight="1" spans="1:66">
      <c r="A73" s="224">
        <f t="shared" si="9"/>
        <v>71</v>
      </c>
      <c r="B73" s="225" t="s">
        <v>101</v>
      </c>
      <c r="C73" s="225" t="s">
        <v>440</v>
      </c>
      <c r="D73" s="225" t="s">
        <v>441</v>
      </c>
      <c r="E73" s="226" t="s">
        <v>104</v>
      </c>
      <c r="F73" s="226" t="s">
        <v>101</v>
      </c>
      <c r="G73" s="227" t="s">
        <v>66</v>
      </c>
      <c r="H73" s="228">
        <v>46202</v>
      </c>
      <c r="I73" s="229"/>
      <c r="J73" s="230" t="s">
        <v>33</v>
      </c>
      <c r="K73" s="226" t="s">
        <v>442</v>
      </c>
      <c r="L73" s="227">
        <v>1</v>
      </c>
      <c r="M73" s="226" t="s">
        <v>33</v>
      </c>
      <c r="N73" s="229" t="s">
        <v>443</v>
      </c>
      <c r="O73" s="229" t="s">
        <v>444</v>
      </c>
      <c r="P73" s="17">
        <v>28000</v>
      </c>
      <c r="Q73" s="17">
        <f>ROUND(SUMIF(其他补发!B:B,$C73,其他补发!D:D),2)</f>
        <v>0</v>
      </c>
      <c r="R73" s="17">
        <f>ROUND(SUMIF(其他补发!B:B,$C73,其他补发!H:H),2)</f>
        <v>0</v>
      </c>
      <c r="S73" s="17">
        <f>ROUND(SUMIF(其他补发!B:B,$C73,其他补发!I:I),2)</f>
        <v>0</v>
      </c>
      <c r="T73" s="17">
        <f>ROUND(SUMIF(其他补发!B:B,$C73,其他补发!E:E),2)</f>
        <v>0</v>
      </c>
      <c r="U73" s="17">
        <f>ROUND((VLOOKUP(C73,考勤!C:H,6,0)+VLOOKUP(C73,考勤!C:O,13,0)+VLOOKUP(C73,考勤!C:P,14,0)*0.3+VLOOKUP(C73,考勤!C:AA,25,0))*(P73+Q73+R73)/21.75,2)+ROUND((VLOOKUP(C73,考勤!C:V,19,0)+VLOOKUP(C73,考勤!C:V,20,0))*(P73+Q73+R73-2520)/21.75,2)</f>
        <v>0</v>
      </c>
      <c r="V73" s="17">
        <f>ROUND(SUMIF(动态表!C:C,C73,动态表!AA:AA)+SUMIFS(其他补发!L:L,其他补发!B:B,C73),2)</f>
        <v>0</v>
      </c>
      <c r="W73" s="17">
        <f>ROUND(VLOOKUP(C73,考勤!C:K,9,0)*P73/21.75/8*2+VLOOKUP(C73,考勤!C:L,10,0)*P73/21.75/8*3,2)+SUMIFS(加班费!$H:$H,加班费!$D:$D,$C73)</f>
        <v>0</v>
      </c>
      <c r="X73" s="17">
        <f>SUMIF(奖金!D:D,C73,奖金!F:F)</f>
        <v>0</v>
      </c>
      <c r="Y73" s="17">
        <f>SUMIF(其他补发!B:B,C73,其他补发!J:J)</f>
        <v>0</v>
      </c>
      <c r="Z73" s="17">
        <f>SUMIF(其他补发!B:B,C73,其他补发!F:F)</f>
        <v>0</v>
      </c>
      <c r="AA73" s="17">
        <f>SUMIF(其他补发!B:B,C73,其他补发!G:G)</f>
        <v>0</v>
      </c>
      <c r="AB73" s="17">
        <f>SUMIF(其他补发!B:B,C73,其他补发!M:M)</f>
        <v>0</v>
      </c>
      <c r="AC73" s="17">
        <f>SUMIF(其他补发!B:B,C73,其他补发!N:N)</f>
        <v>0</v>
      </c>
      <c r="AD73" s="17">
        <f>SUMIF(其他补发!B:B,C73,其他补发!K:K)</f>
        <v>0</v>
      </c>
      <c r="AE73" s="17">
        <f t="shared" si="10"/>
        <v>0</v>
      </c>
      <c r="AF73" s="17">
        <f t="shared" si="11"/>
        <v>28000</v>
      </c>
      <c r="AG73" s="17">
        <f>SUMIF(税后扣款!B:B,C73,税后扣款!E:E)</f>
        <v>0</v>
      </c>
      <c r="AH73" s="17">
        <f>SUMIF(房租水电!A:A,C73,房租水电!C:C)</f>
        <v>0</v>
      </c>
      <c r="AI73" s="17">
        <f>SUMIF(房租水电!A:A,C73,房租水电!D:D)</f>
        <v>0</v>
      </c>
      <c r="AJ73" s="17">
        <f>SUMIF(税后扣款!B:B,C73,税后扣款!D:D)</f>
        <v>-160</v>
      </c>
      <c r="AK73" s="17">
        <f t="shared" si="12"/>
        <v>-160</v>
      </c>
      <c r="AL73" s="17">
        <f>SUMIF(社会保险!D:D,N73,社会保险!I:I)</f>
        <v>2203.92</v>
      </c>
      <c r="AM73" s="17">
        <f>SUMIF(社会保险!D:D,N73,社会保险!J:J)</f>
        <v>560</v>
      </c>
      <c r="AN73" s="17">
        <f>SUMIF(社会保险!D:D,N73,社会保险!K:K)</f>
        <v>56</v>
      </c>
      <c r="AO73" s="17">
        <f>SUMIF(公积金!C:C,N73,公积金!L:L)</f>
        <v>3360</v>
      </c>
      <c r="AP73" s="17">
        <f>SUMIF(专项扣除!$B:$B,$C73,专项扣除!D:D)</f>
        <v>0</v>
      </c>
      <c r="AQ73" s="17">
        <f>SUMIF(专项扣除!$B:$B,$C73,专项扣除!E:E)</f>
        <v>0</v>
      </c>
      <c r="AR73" s="17">
        <f>SUMIF(专项扣除!$B:$B,$C73,专项扣除!F:F)</f>
        <v>0</v>
      </c>
      <c r="AS73" s="17">
        <f>SUMIF(专项扣除!$B:$B,$C73,专项扣除!G:G)</f>
        <v>0</v>
      </c>
      <c r="AT73" s="17">
        <f>SUMIF(专项扣除!$B:$B,$C73,专项扣除!H:H)</f>
        <v>0</v>
      </c>
      <c r="AU73" s="17">
        <f>SUMIF(专项扣除!$B:$B,$C73,专项扣除!I:I)</f>
        <v>0</v>
      </c>
      <c r="AV73" s="17">
        <f>SUMIF(专项扣除!$B:$B,$C73,专项扣除!J:J)</f>
        <v>0</v>
      </c>
      <c r="AW73" s="17">
        <v>5000</v>
      </c>
      <c r="AX73" s="17">
        <f t="shared" si="13"/>
        <v>11179.92</v>
      </c>
      <c r="AY73" s="17">
        <f>SUMIF(上月累计工资累计社保和公积金!C:C,C73,上月累计工资累计社保和公积金!E:E)</f>
        <v>2974.71</v>
      </c>
      <c r="AZ73" s="17">
        <f t="shared" si="14"/>
        <v>30974.71</v>
      </c>
      <c r="BA73" s="17">
        <f>SUMIF(上月累计工资累计社保和公积金!C:C,C73,上月累计工资累计社保和公积金!K:K)</f>
        <v>5000</v>
      </c>
      <c r="BB73" s="17">
        <f t="shared" si="15"/>
        <v>16179.92</v>
      </c>
      <c r="BC73" s="17">
        <f>ROUND(MAX((AZ73-BB73-AP73-AQ73-AR73-AS73-AT73-AU73-AV73)*0.01*{3,10,20,25,30,35,45}-{0,2520,16920,31920,52920,85920,181920},0),2)</f>
        <v>443.84</v>
      </c>
      <c r="BD73" s="17">
        <f>SUMIF(上月累计工资累计社保和公积金!C:C,C73,上月累计工资累计社保和公积金!L:L)</f>
        <v>0</v>
      </c>
      <c r="BE73" s="17">
        <f t="shared" si="16"/>
        <v>443.84</v>
      </c>
      <c r="BF73" s="17">
        <f t="shared" si="17"/>
        <v>21536.24</v>
      </c>
      <c r="BG73" s="231"/>
      <c r="BH73" s="232" t="str">
        <f>VLOOKUP(C73,考勤!C:AL,36,0)</f>
        <v>JT@youdoogo.com</v>
      </c>
      <c r="BI73" s="233">
        <f t="shared" si="18"/>
        <v>0</v>
      </c>
      <c r="BJ73" s="236"/>
      <c r="BK73" s="235"/>
      <c r="BL73" s="235"/>
      <c r="BM73" s="235"/>
      <c r="BN73" s="235"/>
    </row>
    <row r="74" s="202" customFormat="1" ht="15.75" customHeight="1" spans="1:66">
      <c r="A74" s="224">
        <f t="shared" si="9"/>
        <v>72</v>
      </c>
      <c r="B74" s="225" t="s">
        <v>101</v>
      </c>
      <c r="C74" s="225" t="s">
        <v>445</v>
      </c>
      <c r="D74" s="225" t="s">
        <v>446</v>
      </c>
      <c r="E74" s="226" t="s">
        <v>104</v>
      </c>
      <c r="F74" s="226" t="s">
        <v>101</v>
      </c>
      <c r="G74" s="226" t="s">
        <v>65</v>
      </c>
      <c r="H74" s="228">
        <v>46202</v>
      </c>
      <c r="I74" s="229"/>
      <c r="J74" s="230" t="s">
        <v>36</v>
      </c>
      <c r="K74" s="226" t="s">
        <v>447</v>
      </c>
      <c r="L74" s="227">
        <v>1</v>
      </c>
      <c r="M74" s="226" t="s">
        <v>36</v>
      </c>
      <c r="N74" s="229" t="s">
        <v>448</v>
      </c>
      <c r="O74" s="229" t="s">
        <v>449</v>
      </c>
      <c r="P74" s="17">
        <v>25000</v>
      </c>
      <c r="Q74" s="17">
        <f>ROUND(SUMIF(其他补发!B:B,$C74,其他补发!D:D),2)</f>
        <v>0</v>
      </c>
      <c r="R74" s="17">
        <f>ROUND(SUMIF(其他补发!B:B,$C74,其他补发!H:H),2)</f>
        <v>0</v>
      </c>
      <c r="S74" s="17">
        <f>ROUND(SUMIF(其他补发!B:B,$C74,其他补发!I:I),2)</f>
        <v>0</v>
      </c>
      <c r="T74" s="17">
        <f>ROUND(SUMIF(其他补发!B:B,$C74,其他补发!E:E),2)</f>
        <v>0</v>
      </c>
      <c r="U74" s="17">
        <f>ROUND((VLOOKUP(C74,考勤!C:H,6,0)+VLOOKUP(C74,考勤!C:O,13,0)+VLOOKUP(C74,考勤!C:P,14,0)*0.3+VLOOKUP(C74,考勤!C:AA,25,0))*(P74+Q74+R74)/21.75,2)+ROUND((VLOOKUP(C74,考勤!C:V,19,0)+VLOOKUP(C74,考勤!C:V,20,0))*(P74+Q74+R74-2520)/21.75,2)</f>
        <v>0</v>
      </c>
      <c r="V74" s="17">
        <f>ROUND(SUMIF(动态表!C:C,C74,动态表!AA:AA)+SUMIFS(其他补发!L:L,其他补发!B:B,C74),2)</f>
        <v>0</v>
      </c>
      <c r="W74" s="17">
        <f>ROUND(VLOOKUP(C74,考勤!C:K,9,0)*P74/21.75/8*2+VLOOKUP(C74,考勤!C:L,10,0)*P74/21.75/8*3,2)+SUMIFS(加班费!$H:$H,加班费!$D:$D,$C74)</f>
        <v>0</v>
      </c>
      <c r="X74" s="17">
        <f>SUMIF(奖金!D:D,C74,奖金!F:F)</f>
        <v>0</v>
      </c>
      <c r="Y74" s="17">
        <f>SUMIF(其他补发!B:B,C74,其他补发!J:J)</f>
        <v>0</v>
      </c>
      <c r="Z74" s="17">
        <f>SUMIF(其他补发!B:B,C74,其他补发!F:F)</f>
        <v>0</v>
      </c>
      <c r="AA74" s="17">
        <f>SUMIF(其他补发!B:B,C74,其他补发!G:G)</f>
        <v>0</v>
      </c>
      <c r="AB74" s="17">
        <f>SUMIF(其他补发!B:B,C74,其他补发!M:M)</f>
        <v>0</v>
      </c>
      <c r="AC74" s="17">
        <f>SUMIF(其他补发!B:B,C74,其他补发!N:N)</f>
        <v>0</v>
      </c>
      <c r="AD74" s="17">
        <f>SUMIF(其他补发!B:B,C74,其他补发!K:K)</f>
        <v>0</v>
      </c>
      <c r="AE74" s="17">
        <f t="shared" si="10"/>
        <v>0</v>
      </c>
      <c r="AF74" s="17">
        <f t="shared" si="11"/>
        <v>25000</v>
      </c>
      <c r="AG74" s="17">
        <f>SUMIF(税后扣款!B:B,C74,税后扣款!E:E)</f>
        <v>0</v>
      </c>
      <c r="AH74" s="17">
        <f>SUMIF(房租水电!A:A,C74,房租水电!C:C)</f>
        <v>0</v>
      </c>
      <c r="AI74" s="17">
        <f>SUMIF(房租水电!A:A,C74,房租水电!D:D)</f>
        <v>0</v>
      </c>
      <c r="AJ74" s="17">
        <f>SUMIF(税后扣款!B:B,C74,税后扣款!D:D)</f>
        <v>0</v>
      </c>
      <c r="AK74" s="17">
        <f t="shared" si="12"/>
        <v>0</v>
      </c>
      <c r="AL74" s="17">
        <f>SUMIF(社会保险!D:D,N74,社会保险!I:I)</f>
        <v>2000</v>
      </c>
      <c r="AM74" s="17">
        <f>SUMIF(社会保险!D:D,N74,社会保险!J:J)</f>
        <v>500</v>
      </c>
      <c r="AN74" s="17">
        <f>SUMIF(社会保险!D:D,N74,社会保险!K:K)</f>
        <v>50</v>
      </c>
      <c r="AO74" s="17">
        <f>SUMIF(公积金!C:C,N74,公积金!L:L)</f>
        <v>1500</v>
      </c>
      <c r="AP74" s="17">
        <f>SUMIF(专项扣除!$B:$B,$C74,专项扣除!D:D)</f>
        <v>0</v>
      </c>
      <c r="AQ74" s="17">
        <f>SUMIF(专项扣除!$B:$B,$C74,专项扣除!E:E)</f>
        <v>0</v>
      </c>
      <c r="AR74" s="17">
        <f>SUMIF(专项扣除!$B:$B,$C74,专项扣除!F:F)</f>
        <v>0</v>
      </c>
      <c r="AS74" s="17">
        <f>SUMIF(专项扣除!$B:$B,$C74,专项扣除!G:G)</f>
        <v>0</v>
      </c>
      <c r="AT74" s="17">
        <f>SUMIF(专项扣除!$B:$B,$C74,专项扣除!H:H)</f>
        <v>0</v>
      </c>
      <c r="AU74" s="17">
        <f>SUMIF(专项扣除!$B:$B,$C74,专项扣除!I:I)</f>
        <v>0</v>
      </c>
      <c r="AV74" s="17">
        <f>SUMIF(专项扣除!$B:$B,$C74,专项扣除!J:J)</f>
        <v>0</v>
      </c>
      <c r="AW74" s="17">
        <v>5000</v>
      </c>
      <c r="AX74" s="17">
        <f t="shared" si="13"/>
        <v>9050</v>
      </c>
      <c r="AY74" s="17">
        <f>SUMIF(上月累计工资累计社保和公积金!C:C,C74,上月累计工资累计社保和公积金!E:E)</f>
        <v>2498.85</v>
      </c>
      <c r="AZ74" s="17">
        <f t="shared" si="14"/>
        <v>27498.85</v>
      </c>
      <c r="BA74" s="17">
        <f>SUMIF(上月累计工资累计社保和公积金!C:C,C74,上月累计工资累计社保和公积金!K:K)</f>
        <v>5000</v>
      </c>
      <c r="BB74" s="17">
        <f t="shared" si="15"/>
        <v>14050</v>
      </c>
      <c r="BC74" s="17">
        <f>ROUND(MAX((AZ74-BB74-AP74-AQ74-AR74-AS74-AT74-AU74-AV74)*0.01*{3,10,20,25,30,35,45}-{0,2520,16920,31920,52920,85920,181920},0),2)</f>
        <v>403.47</v>
      </c>
      <c r="BD74" s="17">
        <f>SUMIF(上月累计工资累计社保和公积金!C:C,C74,上月累计工资累计社保和公积金!L:L)</f>
        <v>0</v>
      </c>
      <c r="BE74" s="17">
        <f t="shared" si="16"/>
        <v>403.47</v>
      </c>
      <c r="BF74" s="17">
        <f t="shared" si="17"/>
        <v>20546.53</v>
      </c>
      <c r="BG74" s="231"/>
      <c r="BH74" s="232" t="str">
        <f>VLOOKUP(C74,考勤!C:AL,36,0)</f>
        <v>paul@youdoogo.com</v>
      </c>
      <c r="BI74" s="233">
        <f t="shared" si="18"/>
        <v>0</v>
      </c>
      <c r="BJ74" s="236"/>
      <c r="BK74" s="235"/>
      <c r="BL74" s="235"/>
      <c r="BM74" s="235"/>
      <c r="BN74" s="235"/>
    </row>
    <row r="75" s="202" customFormat="1" ht="15.75" customHeight="1" spans="1:66">
      <c r="A75" s="224">
        <f t="shared" si="9"/>
        <v>73</v>
      </c>
      <c r="B75" s="225" t="s">
        <v>101</v>
      </c>
      <c r="C75" s="225" t="s">
        <v>450</v>
      </c>
      <c r="D75" s="225" t="s">
        <v>451</v>
      </c>
      <c r="E75" s="226" t="s">
        <v>104</v>
      </c>
      <c r="F75" s="226" t="s">
        <v>101</v>
      </c>
      <c r="G75" s="226" t="s">
        <v>66</v>
      </c>
      <c r="H75" s="228">
        <v>46204</v>
      </c>
      <c r="I75" s="229"/>
      <c r="J75" s="230" t="s">
        <v>33</v>
      </c>
      <c r="K75" s="17" t="s">
        <v>452</v>
      </c>
      <c r="L75" s="227">
        <v>1</v>
      </c>
      <c r="M75" s="230" t="s">
        <v>33</v>
      </c>
      <c r="N75" s="229" t="s">
        <v>453</v>
      </c>
      <c r="O75" s="17" t="s">
        <v>454</v>
      </c>
      <c r="P75" s="17">
        <v>8000</v>
      </c>
      <c r="Q75" s="17">
        <f>ROUND(SUMIF(其他补发!B:B,$C75,其他补发!D:D),2)</f>
        <v>0</v>
      </c>
      <c r="R75" s="17">
        <f>ROUND(SUMIF(其他补发!B:B,$C75,其他补发!H:H),2)</f>
        <v>0</v>
      </c>
      <c r="S75" s="17">
        <f>ROUND(SUMIF(其他补发!B:B,$C75,其他补发!I:I),2)</f>
        <v>0</v>
      </c>
      <c r="T75" s="17">
        <f>ROUND(SUMIF(其他补发!B:B,$C75,其他补发!E:E),2)</f>
        <v>0</v>
      </c>
      <c r="U75" s="17">
        <f>ROUND((VLOOKUP(C75,考勤!C:H,6,0)+VLOOKUP(C75,考勤!C:O,13,0)+VLOOKUP(C75,考勤!C:P,14,0)*0.3+VLOOKUP(C75,考勤!C:AA,25,0))*(P75+Q75+R75)/21.75,2)+ROUND((VLOOKUP(C75,考勤!C:V,19,0)+VLOOKUP(C75,考勤!C:V,20,0))*(P75+Q75+R75-2520)/21.75,2)</f>
        <v>0</v>
      </c>
      <c r="V75" s="17">
        <f>ROUND(SUMIF(动态表!C:C,C75,动态表!AA:AA)+SUMIFS(其他补发!L:L,其他补发!B:B,C75),2)</f>
        <v>0</v>
      </c>
      <c r="W75" s="17">
        <f>ROUND(VLOOKUP(C75,考勤!C:K,9,0)*P75/21.75/8*2+VLOOKUP(C75,考勤!C:L,10,0)*P75/21.75/8*3,2)+SUMIFS(加班费!$H:$H,加班费!$D:$D,$C75)</f>
        <v>0</v>
      </c>
      <c r="X75" s="17">
        <f>SUMIF(奖金!D:D,C75,奖金!F:F)</f>
        <v>0</v>
      </c>
      <c r="Y75" s="17">
        <f>SUMIF(其他补发!B:B,C75,其他补发!J:J)</f>
        <v>0</v>
      </c>
      <c r="Z75" s="17">
        <f>SUMIF(其他补发!B:B,C75,其他补发!F:F)</f>
        <v>0</v>
      </c>
      <c r="AA75" s="17">
        <f>SUMIF(其他补发!B:B,C75,其他补发!G:G)</f>
        <v>0</v>
      </c>
      <c r="AB75" s="17">
        <f>SUMIF(其他补发!B:B,C75,其他补发!M:M)</f>
        <v>0</v>
      </c>
      <c r="AC75" s="17">
        <f>SUMIF(其他补发!B:B,C75,其他补发!N:N)</f>
        <v>0</v>
      </c>
      <c r="AD75" s="17">
        <f>SUMIF(其他补发!B:B,C75,其他补发!K:K)</f>
        <v>0</v>
      </c>
      <c r="AE75" s="17">
        <f t="shared" si="10"/>
        <v>0</v>
      </c>
      <c r="AF75" s="17">
        <f t="shared" si="11"/>
        <v>8000</v>
      </c>
      <c r="AG75" s="17">
        <f>SUMIF(税后扣款!B:B,C75,税后扣款!E:E)</f>
        <v>0</v>
      </c>
      <c r="AH75" s="17">
        <f>SUMIF(房租水电!A:A,C75,房租水电!C:C)</f>
        <v>0</v>
      </c>
      <c r="AI75" s="17">
        <f>SUMIF(房租水电!A:A,C75,房租水电!D:D)</f>
        <v>0</v>
      </c>
      <c r="AJ75" s="17">
        <f>SUMIF(税后扣款!B:B,C75,税后扣款!D:D)</f>
        <v>-160</v>
      </c>
      <c r="AK75" s="17">
        <f t="shared" si="12"/>
        <v>-160</v>
      </c>
      <c r="AL75" s="17">
        <f>SUMIF(社会保险!D:D,N75,社会保险!I:I)</f>
        <v>0</v>
      </c>
      <c r="AM75" s="17">
        <f>SUMIF(社会保险!D:D,N75,社会保险!J:J)</f>
        <v>0</v>
      </c>
      <c r="AN75" s="17">
        <f>SUMIF(社会保险!D:D,N75,社会保险!K:K)</f>
        <v>16</v>
      </c>
      <c r="AO75" s="17">
        <f>SUMIF(公积金!C:C,N75,公积金!L:L)</f>
        <v>800</v>
      </c>
      <c r="AP75" s="17">
        <f>SUMIF(专项扣除!$B:$B,$C75,专项扣除!D:D)</f>
        <v>0</v>
      </c>
      <c r="AQ75" s="17">
        <f>SUMIF(专项扣除!$B:$B,$C75,专项扣除!E:E)</f>
        <v>0</v>
      </c>
      <c r="AR75" s="17">
        <f>SUMIF(专项扣除!$B:$B,$C75,专项扣除!F:F)</f>
        <v>0</v>
      </c>
      <c r="AS75" s="17">
        <f>SUMIF(专项扣除!$B:$B,$C75,专项扣除!G:G)</f>
        <v>0</v>
      </c>
      <c r="AT75" s="17">
        <f>SUMIF(专项扣除!$B:$B,$C75,专项扣除!H:H)</f>
        <v>0</v>
      </c>
      <c r="AU75" s="17">
        <f>SUMIF(专项扣除!$B:$B,$C75,专项扣除!I:I)</f>
        <v>0</v>
      </c>
      <c r="AV75" s="17">
        <f>SUMIF(专项扣除!$B:$B,$C75,专项扣除!J:J)</f>
        <v>0</v>
      </c>
      <c r="AW75" s="17">
        <v>5000</v>
      </c>
      <c r="AX75" s="17">
        <f t="shared" si="13"/>
        <v>5816</v>
      </c>
      <c r="AY75" s="17">
        <f>SUMIF(上月累计工资累计社保和公积金!C:C,C75,上月累计工资累计社保和公积金!E:E)</f>
        <v>0</v>
      </c>
      <c r="AZ75" s="17">
        <f t="shared" si="14"/>
        <v>8000</v>
      </c>
      <c r="BA75" s="17">
        <f>SUMIF(上月累计工资累计社保和公积金!C:C,C75,上月累计工资累计社保和公积金!K:K)</f>
        <v>0</v>
      </c>
      <c r="BB75" s="17">
        <f t="shared" si="15"/>
        <v>5816</v>
      </c>
      <c r="BC75" s="17">
        <f>ROUND(MAX((AZ75-BB75-AP75-AQ75-AR75-AS75-AT75-AU75-AV75)*0.01*{3,10,20,25,30,35,45}-{0,2520,16920,31920,52920,85920,181920},0),2)</f>
        <v>65.52</v>
      </c>
      <c r="BD75" s="17">
        <f>SUMIF(上月累计工资累计社保和公积金!C:C,C75,上月累计工资累计社保和公积金!L:L)</f>
        <v>0</v>
      </c>
      <c r="BE75" s="17">
        <f t="shared" si="16"/>
        <v>65.52</v>
      </c>
      <c r="BF75" s="17">
        <f t="shared" si="17"/>
        <v>7278.48</v>
      </c>
      <c r="BG75" s="231"/>
      <c r="BH75" s="232" t="str">
        <f>VLOOKUP(C75,考勤!C:AL,36,0)</f>
        <v>Yuki@youdoogo.com</v>
      </c>
      <c r="BI75" s="233">
        <f t="shared" si="18"/>
        <v>0</v>
      </c>
      <c r="BJ75" s="236"/>
      <c r="BK75" s="235"/>
      <c r="BL75" s="235"/>
      <c r="BM75" s="235"/>
      <c r="BN75" s="235"/>
    </row>
    <row r="76" s="202" customFormat="1" ht="15.75" customHeight="1" spans="1:66">
      <c r="A76" s="224">
        <f t="shared" si="9"/>
        <v>74</v>
      </c>
      <c r="B76" s="225" t="s">
        <v>101</v>
      </c>
      <c r="C76" s="225" t="s">
        <v>455</v>
      </c>
      <c r="D76" s="225" t="s">
        <v>456</v>
      </c>
      <c r="E76" s="226" t="s">
        <v>104</v>
      </c>
      <c r="F76" s="226" t="s">
        <v>101</v>
      </c>
      <c r="G76" s="226" t="s">
        <v>64</v>
      </c>
      <c r="H76" s="228">
        <v>46206</v>
      </c>
      <c r="I76" s="229"/>
      <c r="J76" s="230" t="s">
        <v>33</v>
      </c>
      <c r="K76" s="17" t="s">
        <v>125</v>
      </c>
      <c r="L76" s="227">
        <v>1</v>
      </c>
      <c r="M76" s="230" t="s">
        <v>33</v>
      </c>
      <c r="N76" s="229" t="s">
        <v>457</v>
      </c>
      <c r="O76" s="17" t="s">
        <v>458</v>
      </c>
      <c r="P76" s="17">
        <v>24000</v>
      </c>
      <c r="Q76" s="17">
        <f>ROUND(SUMIF(其他补发!B:B,$C76,其他补发!D:D),2)</f>
        <v>0</v>
      </c>
      <c r="R76" s="17">
        <f>ROUND(SUMIF(其他补发!B:B,$C76,其他补发!H:H),2)</f>
        <v>0</v>
      </c>
      <c r="S76" s="17">
        <f>ROUND(SUMIF(其他补发!B:B,$C76,其他补发!I:I),2)</f>
        <v>0</v>
      </c>
      <c r="T76" s="17">
        <f>ROUND(SUMIF(其他补发!B:B,$C76,其他补发!E:E),2)</f>
        <v>0</v>
      </c>
      <c r="U76" s="17">
        <f>ROUND((VLOOKUP(C76,考勤!C:H,6,0)+VLOOKUP(C76,考勤!C:O,13,0)+VLOOKUP(C76,考勤!C:P,14,0)*0.3+VLOOKUP(C76,考勤!C:AA,25,0))*(P76+Q76+R76)/21.75,2)+ROUND((VLOOKUP(C76,考勤!C:V,19,0)+VLOOKUP(C76,考勤!C:V,20,0))*(P76+Q76+R76-2520)/21.75,2)</f>
        <v>2206.9</v>
      </c>
      <c r="V76" s="17">
        <f>ROUND(SUMIF(动态表!C:C,C76,动态表!AA:AA)+SUMIFS(其他补发!L:L,其他补发!B:B,C76),2)</f>
        <v>0</v>
      </c>
      <c r="W76" s="17">
        <f>ROUND(VLOOKUP(C76,考勤!C:K,9,0)*P76/21.75/8*2+VLOOKUP(C76,考勤!C:L,10,0)*P76/21.75/8*3,2)+SUMIFS(加班费!$H:$H,加班费!$D:$D,$C76)</f>
        <v>0</v>
      </c>
      <c r="X76" s="17">
        <f>SUMIF(奖金!D:D,C76,奖金!F:F)</f>
        <v>0</v>
      </c>
      <c r="Y76" s="17">
        <f>SUMIF(其他补发!B:B,C76,其他补发!J:J)</f>
        <v>0</v>
      </c>
      <c r="Z76" s="17">
        <f>SUMIF(其他补发!B:B,C76,其他补发!F:F)</f>
        <v>0</v>
      </c>
      <c r="AA76" s="17">
        <f>SUMIF(其他补发!B:B,C76,其他补发!G:G)</f>
        <v>0</v>
      </c>
      <c r="AB76" s="17">
        <f>SUMIF(其他补发!B:B,C76,其他补发!M:M)</f>
        <v>0</v>
      </c>
      <c r="AC76" s="17">
        <f>SUMIF(其他补发!B:B,C76,其他补发!N:N)</f>
        <v>0</v>
      </c>
      <c r="AD76" s="17">
        <f>SUMIF(其他补发!B:B,C76,其他补发!K:K)</f>
        <v>0</v>
      </c>
      <c r="AE76" s="17">
        <f t="shared" si="10"/>
        <v>0</v>
      </c>
      <c r="AF76" s="17">
        <f t="shared" si="11"/>
        <v>21793.1</v>
      </c>
      <c r="AG76" s="17">
        <f>SUMIF(税后扣款!B:B,C76,税后扣款!E:E)</f>
        <v>0</v>
      </c>
      <c r="AH76" s="17">
        <f>SUMIF(房租水电!A:A,C76,房租水电!C:C)</f>
        <v>0</v>
      </c>
      <c r="AI76" s="17">
        <f>SUMIF(房租水电!A:A,C76,房租水电!D:D)</f>
        <v>0</v>
      </c>
      <c r="AJ76" s="17">
        <f>SUMIF(税后扣款!B:B,C76,税后扣款!D:D)</f>
        <v>-160</v>
      </c>
      <c r="AK76" s="17">
        <f t="shared" si="12"/>
        <v>-160</v>
      </c>
      <c r="AL76" s="17">
        <f>SUMIF(社会保险!D:D,N76,社会保险!I:I)</f>
        <v>1920</v>
      </c>
      <c r="AM76" s="17">
        <f>SUMIF(社会保险!D:D,N76,社会保险!J:J)</f>
        <v>480</v>
      </c>
      <c r="AN76" s="17">
        <f>SUMIF(社会保险!D:D,N76,社会保险!K:K)</f>
        <v>48</v>
      </c>
      <c r="AO76" s="17">
        <f>SUMIF(公积金!C:C,N76,公积金!L:L)</f>
        <v>1920</v>
      </c>
      <c r="AP76" s="17">
        <f>SUMIF(专项扣除!$B:$B,$C76,专项扣除!D:D)</f>
        <v>0</v>
      </c>
      <c r="AQ76" s="17">
        <f>SUMIF(专项扣除!$B:$B,$C76,专项扣除!E:E)</f>
        <v>0</v>
      </c>
      <c r="AR76" s="17">
        <f>SUMIF(专项扣除!$B:$B,$C76,专项扣除!F:F)</f>
        <v>0</v>
      </c>
      <c r="AS76" s="17">
        <f>SUMIF(专项扣除!$B:$B,$C76,专项扣除!G:G)</f>
        <v>0</v>
      </c>
      <c r="AT76" s="17">
        <f>SUMIF(专项扣除!$B:$B,$C76,专项扣除!H:H)</f>
        <v>0</v>
      </c>
      <c r="AU76" s="17">
        <f>SUMIF(专项扣除!$B:$B,$C76,专项扣除!I:I)</f>
        <v>0</v>
      </c>
      <c r="AV76" s="17">
        <f>SUMIF(专项扣除!$B:$B,$C76,专项扣除!J:J)</f>
        <v>0</v>
      </c>
      <c r="AW76" s="17">
        <v>5000</v>
      </c>
      <c r="AX76" s="17">
        <f t="shared" si="13"/>
        <v>9368</v>
      </c>
      <c r="AY76" s="17">
        <f>SUMIF(上月累计工资累计社保和公积金!C:C,C76,上月累计工资累计社保和公积金!E:E)</f>
        <v>0</v>
      </c>
      <c r="AZ76" s="17">
        <f t="shared" si="14"/>
        <v>21793.1</v>
      </c>
      <c r="BA76" s="17">
        <f>SUMIF(上月累计工资累计社保和公积金!C:C,C76,上月累计工资累计社保和公积金!K:K)</f>
        <v>0</v>
      </c>
      <c r="BB76" s="17">
        <f t="shared" si="15"/>
        <v>9368</v>
      </c>
      <c r="BC76" s="17">
        <f>ROUND(MAX((AZ76-BB76-AP76-AQ76-AR76-AS76-AT76-AU76-AV76)*0.01*{3,10,20,25,30,35,45}-{0,2520,16920,31920,52920,85920,181920},0),2)</f>
        <v>372.75</v>
      </c>
      <c r="BD76" s="17">
        <f>SUMIF(上月累计工资累计社保和公积金!C:C,C76,上月累计工资累计社保和公积金!L:L)</f>
        <v>0</v>
      </c>
      <c r="BE76" s="17">
        <f t="shared" si="16"/>
        <v>372.75</v>
      </c>
      <c r="BF76" s="17">
        <f t="shared" si="17"/>
        <v>17212.35</v>
      </c>
      <c r="BG76" s="231"/>
      <c r="BH76" s="232" t="str">
        <f>VLOOKUP(C76,考勤!C:AL,36,0)</f>
        <v>Cathy@youdoogo.com</v>
      </c>
      <c r="BI76" s="233">
        <f t="shared" si="18"/>
        <v>0</v>
      </c>
      <c r="BJ76" s="236"/>
      <c r="BK76" s="235"/>
      <c r="BL76" s="235"/>
      <c r="BM76" s="235"/>
      <c r="BN76" s="235"/>
    </row>
    <row r="77" s="202" customFormat="1" ht="15.75" customHeight="1" spans="1:66">
      <c r="A77" s="224">
        <f t="shared" si="9"/>
        <v>75</v>
      </c>
      <c r="B77" s="225" t="s">
        <v>101</v>
      </c>
      <c r="C77" s="225" t="s">
        <v>459</v>
      </c>
      <c r="D77" s="225" t="s">
        <v>460</v>
      </c>
      <c r="E77" s="226" t="s">
        <v>104</v>
      </c>
      <c r="F77" s="226" t="s">
        <v>101</v>
      </c>
      <c r="G77" s="226" t="s">
        <v>65</v>
      </c>
      <c r="H77" s="228">
        <v>46218</v>
      </c>
      <c r="I77" s="229"/>
      <c r="J77" s="230" t="s">
        <v>36</v>
      </c>
      <c r="K77" s="17" t="s">
        <v>461</v>
      </c>
      <c r="L77" s="227">
        <v>1</v>
      </c>
      <c r="M77" s="230" t="s">
        <v>36</v>
      </c>
      <c r="N77" s="229" t="s">
        <v>462</v>
      </c>
      <c r="O77" s="17" t="s">
        <v>463</v>
      </c>
      <c r="P77" s="17">
        <v>22000</v>
      </c>
      <c r="Q77" s="17">
        <f>ROUND(SUMIF(其他补发!B:B,$C77,其他补发!D:D),2)</f>
        <v>0</v>
      </c>
      <c r="R77" s="17">
        <f>ROUND(SUMIF(其他补发!B:B,$C77,其他补发!H:H),2)</f>
        <v>0</v>
      </c>
      <c r="S77" s="17">
        <f>ROUND(SUMIF(其他补发!B:B,$C77,其他补发!I:I),2)</f>
        <v>0</v>
      </c>
      <c r="T77" s="17">
        <f>ROUND(SUMIF(其他补发!B:B,$C77,其他补发!E:E),2)</f>
        <v>0</v>
      </c>
      <c r="U77" s="17">
        <f>ROUND((VLOOKUP(C77,考勤!C:H,6,0)+VLOOKUP(C77,考勤!C:O,13,0)+VLOOKUP(C77,考勤!C:P,14,0)*0.3+VLOOKUP(C77,考勤!C:AA,25,0))*(P77+Q77+R77)/21.75,2)+ROUND((VLOOKUP(C77,考勤!C:V,19,0)+VLOOKUP(C77,考勤!C:V,20,0))*(P77+Q77+R77-2520)/21.75,2)</f>
        <v>10114.94</v>
      </c>
      <c r="V77" s="17">
        <f>ROUND(SUMIF(动态表!C:C,C77,动态表!AA:AA)+SUMIFS(其他补发!L:L,其他补发!B:B,C77),2)</f>
        <v>0</v>
      </c>
      <c r="W77" s="17">
        <f>ROUND(VLOOKUP(C77,考勤!C:K,9,0)*P77/21.75/8*2+VLOOKUP(C77,考勤!C:L,10,0)*P77/21.75/8*3,2)+SUMIFS(加班费!$H:$H,加班费!$D:$D,$C77)</f>
        <v>0</v>
      </c>
      <c r="X77" s="17">
        <f>SUMIF(奖金!D:D,C77,奖金!F:F)</f>
        <v>0</v>
      </c>
      <c r="Y77" s="17">
        <f>SUMIF(其他补发!B:B,C77,其他补发!J:J)</f>
        <v>0</v>
      </c>
      <c r="Z77" s="17">
        <f>SUMIF(其他补发!B:B,C77,其他补发!F:F)</f>
        <v>0</v>
      </c>
      <c r="AA77" s="17">
        <f>SUMIF(其他补发!B:B,C77,其他补发!G:G)</f>
        <v>0</v>
      </c>
      <c r="AB77" s="17">
        <f>SUMIF(其他补发!B:B,C77,其他补发!M:M)</f>
        <v>0</v>
      </c>
      <c r="AC77" s="17">
        <f>SUMIF(其他补发!B:B,C77,其他补发!N:N)</f>
        <v>0</v>
      </c>
      <c r="AD77" s="17">
        <f>SUMIF(其他补发!B:B,C77,其他补发!K:K)</f>
        <v>0</v>
      </c>
      <c r="AE77" s="17">
        <f t="shared" si="10"/>
        <v>0</v>
      </c>
      <c r="AF77" s="17">
        <f t="shared" si="11"/>
        <v>11885.06</v>
      </c>
      <c r="AG77" s="17">
        <f>SUMIF(税后扣款!B:B,C77,税后扣款!E:E)</f>
        <v>0</v>
      </c>
      <c r="AH77" s="17">
        <f>SUMIF(房租水电!A:A,C77,房租水电!C:C)</f>
        <v>0</v>
      </c>
      <c r="AI77" s="17">
        <f>SUMIF(房租水电!A:A,C77,房租水电!D:D)</f>
        <v>0</v>
      </c>
      <c r="AJ77" s="17">
        <f>SUMIF(税后扣款!B:B,C77,税后扣款!D:D)</f>
        <v>0</v>
      </c>
      <c r="AK77" s="17">
        <f t="shared" si="12"/>
        <v>0</v>
      </c>
      <c r="AL77" s="17">
        <f>SUMIF(社会保险!D:D,N77,社会保险!I:I)</f>
        <v>1760</v>
      </c>
      <c r="AM77" s="17">
        <f>SUMIF(社会保险!D:D,N77,社会保险!J:J)</f>
        <v>440</v>
      </c>
      <c r="AN77" s="17">
        <f>SUMIF(社会保险!D:D,N77,社会保险!K:K)</f>
        <v>44</v>
      </c>
      <c r="AO77" s="17">
        <f>SUMIF(公积金!C:C,N77,公积金!L:L)</f>
        <v>1320</v>
      </c>
      <c r="AP77" s="17">
        <f>SUMIF(专项扣除!$B:$B,$C77,专项扣除!D:D)</f>
        <v>0</v>
      </c>
      <c r="AQ77" s="17">
        <f>SUMIF(专项扣除!$B:$B,$C77,专项扣除!E:E)</f>
        <v>0</v>
      </c>
      <c r="AR77" s="17">
        <f>SUMIF(专项扣除!$B:$B,$C77,专项扣除!F:F)</f>
        <v>0</v>
      </c>
      <c r="AS77" s="17">
        <f>SUMIF(专项扣除!$B:$B,$C77,专项扣除!G:G)</f>
        <v>0</v>
      </c>
      <c r="AT77" s="17">
        <f>SUMIF(专项扣除!$B:$B,$C77,专项扣除!H:H)</f>
        <v>0</v>
      </c>
      <c r="AU77" s="17">
        <f>SUMIF(专项扣除!$B:$B,$C77,专项扣除!I:I)</f>
        <v>0</v>
      </c>
      <c r="AV77" s="17">
        <f>SUMIF(专项扣除!$B:$B,$C77,专项扣除!J:J)</f>
        <v>0</v>
      </c>
      <c r="AW77" s="17">
        <v>5000</v>
      </c>
      <c r="AX77" s="17">
        <f t="shared" si="13"/>
        <v>8564</v>
      </c>
      <c r="AY77" s="17">
        <f>SUMIF(上月累计工资累计社保和公积金!C:C,C77,上月累计工资累计社保和公积金!E:E)</f>
        <v>0</v>
      </c>
      <c r="AZ77" s="17">
        <f t="shared" si="14"/>
        <v>11885.06</v>
      </c>
      <c r="BA77" s="17">
        <f>SUMIF(上月累计工资累计社保和公积金!C:C,C77,上月累计工资累计社保和公积金!K:K)</f>
        <v>0</v>
      </c>
      <c r="BB77" s="17">
        <f t="shared" si="15"/>
        <v>8564</v>
      </c>
      <c r="BC77" s="17">
        <f>ROUND(MAX((AZ77-BB77-AP77-AQ77-AR77-AS77-AT77-AU77-AV77)*0.01*{3,10,20,25,30,35,45}-{0,2520,16920,31920,52920,85920,181920},0),2)</f>
        <v>99.63</v>
      </c>
      <c r="BD77" s="17">
        <f>SUMIF(上月累计工资累计社保和公积金!C:C,C77,上月累计工资累计社保和公积金!L:L)</f>
        <v>0</v>
      </c>
      <c r="BE77" s="17">
        <f t="shared" si="16"/>
        <v>99.63</v>
      </c>
      <c r="BF77" s="17">
        <f t="shared" si="17"/>
        <v>8221.43</v>
      </c>
      <c r="BG77" s="231"/>
      <c r="BH77" s="232" t="str">
        <f>VLOOKUP(C77,考勤!C:AL,36,0)</f>
        <v>Yangzte@youdoogo.com</v>
      </c>
      <c r="BI77" s="233">
        <f t="shared" si="18"/>
        <v>0</v>
      </c>
      <c r="BJ77" s="236"/>
      <c r="BK77" s="235"/>
      <c r="BL77" s="235"/>
      <c r="BM77" s="235"/>
      <c r="BN77" s="235"/>
    </row>
    <row r="78" s="202" customFormat="1" ht="15.75" customHeight="1" spans="1:66">
      <c r="A78" s="224">
        <f t="shared" si="9"/>
        <v>76</v>
      </c>
      <c r="B78" s="225" t="s">
        <v>101</v>
      </c>
      <c r="C78" s="225" t="s">
        <v>464</v>
      </c>
      <c r="D78" s="225" t="s">
        <v>465</v>
      </c>
      <c r="E78" s="226" t="s">
        <v>104</v>
      </c>
      <c r="F78" s="226" t="s">
        <v>101</v>
      </c>
      <c r="G78" s="226" t="s">
        <v>67</v>
      </c>
      <c r="H78" s="228">
        <v>46219</v>
      </c>
      <c r="I78" s="229"/>
      <c r="J78" s="230" t="s">
        <v>36</v>
      </c>
      <c r="K78" s="17" t="s">
        <v>466</v>
      </c>
      <c r="L78" s="227">
        <v>1</v>
      </c>
      <c r="M78" s="230" t="s">
        <v>36</v>
      </c>
      <c r="N78" s="229" t="s">
        <v>467</v>
      </c>
      <c r="O78" s="17" t="s">
        <v>468</v>
      </c>
      <c r="P78" s="17">
        <v>20000</v>
      </c>
      <c r="Q78" s="17">
        <f>ROUND(SUMIF(其他补发!B:B,$C78,其他补发!D:D),2)</f>
        <v>0</v>
      </c>
      <c r="R78" s="17">
        <f>ROUND(SUMIF(其他补发!B:B,$C78,其他补发!H:H),2)</f>
        <v>0</v>
      </c>
      <c r="S78" s="17">
        <f>ROUND(SUMIF(其他补发!B:B,$C78,其他补发!I:I),2)</f>
        <v>0</v>
      </c>
      <c r="T78" s="17">
        <f>ROUND(SUMIF(其他补发!B:B,$C78,其他补发!E:E),2)</f>
        <v>0</v>
      </c>
      <c r="U78" s="17">
        <f>ROUND((VLOOKUP(C78,考勤!C:H,6,0)+VLOOKUP(C78,考勤!C:O,13,0)+VLOOKUP(C78,考勤!C:P,14,0)*0.3+VLOOKUP(C78,考勤!C:AA,25,0))*(P78+Q78+R78)/21.75,2)+ROUND((VLOOKUP(C78,考勤!C:V,19,0)+VLOOKUP(C78,考勤!C:V,20,0))*(P78+Q78+R78-2520)/21.75,2)</f>
        <v>8965.52</v>
      </c>
      <c r="V78" s="17">
        <f>ROUND(SUMIF(动态表!C:C,C78,动态表!AA:AA)+SUMIFS(其他补发!L:L,其他补发!B:B,C78),2)</f>
        <v>0</v>
      </c>
      <c r="W78" s="17">
        <f>ROUND(VLOOKUP(C78,考勤!C:K,9,0)*P78/21.75/8*2+VLOOKUP(C78,考勤!C:L,10,0)*P78/21.75/8*3,2)+SUMIFS(加班费!$H:$H,加班费!$D:$D,$C78)</f>
        <v>0</v>
      </c>
      <c r="X78" s="17">
        <f>SUMIF(奖金!D:D,C78,奖金!F:F)</f>
        <v>0</v>
      </c>
      <c r="Y78" s="17">
        <f>SUMIF(其他补发!B:B,C78,其他补发!J:J)</f>
        <v>0</v>
      </c>
      <c r="Z78" s="17">
        <f>SUMIF(其他补发!B:B,C78,其他补发!F:F)</f>
        <v>0</v>
      </c>
      <c r="AA78" s="17">
        <f>SUMIF(其他补发!B:B,C78,其他补发!G:G)</f>
        <v>0</v>
      </c>
      <c r="AB78" s="17">
        <f>SUMIF(其他补发!B:B,C78,其他补发!M:M)</f>
        <v>0</v>
      </c>
      <c r="AC78" s="17">
        <f>SUMIF(其他补发!B:B,C78,其他补发!N:N)</f>
        <v>0</v>
      </c>
      <c r="AD78" s="17">
        <f>SUMIF(其他补发!B:B,C78,其他补发!K:K)</f>
        <v>200</v>
      </c>
      <c r="AE78" s="17">
        <f t="shared" si="10"/>
        <v>200</v>
      </c>
      <c r="AF78" s="17">
        <f t="shared" si="11"/>
        <v>11234.48</v>
      </c>
      <c r="AG78" s="17">
        <f>SUMIF(税后扣款!B:B,C78,税后扣款!E:E)</f>
        <v>0</v>
      </c>
      <c r="AH78" s="17">
        <f>SUMIF(房租水电!A:A,C78,房租水电!C:C)</f>
        <v>0</v>
      </c>
      <c r="AI78" s="17">
        <f>SUMIF(房租水电!A:A,C78,房租水电!D:D)</f>
        <v>0</v>
      </c>
      <c r="AJ78" s="17">
        <f>SUMIF(税后扣款!B:B,C78,税后扣款!D:D)</f>
        <v>200</v>
      </c>
      <c r="AK78" s="17">
        <f t="shared" si="12"/>
        <v>200</v>
      </c>
      <c r="AL78" s="17">
        <f>SUMIF(社会保险!D:D,N78,社会保险!I:I)</f>
        <v>0</v>
      </c>
      <c r="AM78" s="17">
        <f>SUMIF(社会保险!D:D,N78,社会保险!J:J)</f>
        <v>0</v>
      </c>
      <c r="AN78" s="17">
        <f>SUMIF(社会保险!D:D,N78,社会保险!K:K)</f>
        <v>0</v>
      </c>
      <c r="AO78" s="17">
        <f>SUMIF(公积金!C:C,N78,公积金!L:L)</f>
        <v>0</v>
      </c>
      <c r="AP78" s="17">
        <f>SUMIF(专项扣除!$B:$B,$C78,专项扣除!D:D)</f>
        <v>0</v>
      </c>
      <c r="AQ78" s="17">
        <f>SUMIF(专项扣除!$B:$B,$C78,专项扣除!E:E)</f>
        <v>0</v>
      </c>
      <c r="AR78" s="17">
        <f>SUMIF(专项扣除!$B:$B,$C78,专项扣除!F:F)</f>
        <v>0</v>
      </c>
      <c r="AS78" s="17">
        <f>SUMIF(专项扣除!$B:$B,$C78,专项扣除!G:G)</f>
        <v>0</v>
      </c>
      <c r="AT78" s="17">
        <f>SUMIF(专项扣除!$B:$B,$C78,专项扣除!H:H)</f>
        <v>0</v>
      </c>
      <c r="AU78" s="17">
        <f>SUMIF(专项扣除!$B:$B,$C78,专项扣除!I:I)</f>
        <v>0</v>
      </c>
      <c r="AV78" s="17">
        <f>SUMIF(专项扣除!$B:$B,$C78,专项扣除!J:J)</f>
        <v>0</v>
      </c>
      <c r="AW78" s="17">
        <v>5000</v>
      </c>
      <c r="AX78" s="17">
        <f t="shared" si="13"/>
        <v>5000</v>
      </c>
      <c r="AY78" s="17">
        <f>SUMIF(上月累计工资累计社保和公积金!C:C,C78,上月累计工资累计社保和公积金!E:E)</f>
        <v>0</v>
      </c>
      <c r="AZ78" s="17">
        <f t="shared" si="14"/>
        <v>11234.48</v>
      </c>
      <c r="BA78" s="17">
        <f>SUMIF(上月累计工资累计社保和公积金!C:C,C78,上月累计工资累计社保和公积金!K:K)</f>
        <v>0</v>
      </c>
      <c r="BB78" s="17">
        <f t="shared" si="15"/>
        <v>5000</v>
      </c>
      <c r="BC78" s="17">
        <f>ROUND(MAX((AZ78-BB78-AP78-AQ78-AR78-AS78-AT78-AU78-AV78)*0.01*{3,10,20,25,30,35,45}-{0,2520,16920,31920,52920,85920,181920},0),2)</f>
        <v>187.03</v>
      </c>
      <c r="BD78" s="17">
        <f>SUMIF(上月累计工资累计社保和公积金!C:C,C78,上月累计工资累计社保和公积金!L:L)</f>
        <v>0</v>
      </c>
      <c r="BE78" s="17">
        <f t="shared" si="16"/>
        <v>187.03</v>
      </c>
      <c r="BF78" s="17">
        <f t="shared" si="17"/>
        <v>10847.45</v>
      </c>
      <c r="BG78" s="231"/>
      <c r="BH78" s="232" t="str">
        <f>VLOOKUP(C78,考勤!C:AL,36,0)</f>
        <v>pauluo@youdoogo.com</v>
      </c>
      <c r="BI78" s="233">
        <f t="shared" si="18"/>
        <v>0</v>
      </c>
      <c r="BJ78" s="236"/>
      <c r="BK78" s="235"/>
      <c r="BL78" s="235"/>
      <c r="BM78" s="235"/>
      <c r="BN78" s="235"/>
    </row>
    <row r="79" s="202" customFormat="1" ht="15.75" customHeight="1" spans="1:66">
      <c r="A79" s="224">
        <f t="shared" si="9"/>
        <v>77</v>
      </c>
      <c r="B79" s="225" t="s">
        <v>101</v>
      </c>
      <c r="C79" s="225" t="s">
        <v>469</v>
      </c>
      <c r="D79" s="225" t="s">
        <v>470</v>
      </c>
      <c r="E79" s="226" t="s">
        <v>104</v>
      </c>
      <c r="F79" s="226" t="s">
        <v>101</v>
      </c>
      <c r="G79" s="226" t="s">
        <v>67</v>
      </c>
      <c r="H79" s="228">
        <v>46230</v>
      </c>
      <c r="I79" s="229"/>
      <c r="J79" s="230" t="s">
        <v>36</v>
      </c>
      <c r="K79" s="17" t="s">
        <v>471</v>
      </c>
      <c r="L79" s="227">
        <v>1</v>
      </c>
      <c r="M79" s="230" t="s">
        <v>36</v>
      </c>
      <c r="N79" s="229" t="s">
        <v>472</v>
      </c>
      <c r="O79" s="17" t="s">
        <v>473</v>
      </c>
      <c r="P79" s="17">
        <v>26000</v>
      </c>
      <c r="Q79" s="17">
        <f>ROUND(SUMIF(其他补发!B:B,$C79,其他补发!D:D),2)</f>
        <v>0</v>
      </c>
      <c r="R79" s="17">
        <f>ROUND(SUMIF(其他补发!B:B,$C79,其他补发!H:H),2)</f>
        <v>0</v>
      </c>
      <c r="S79" s="17">
        <f>ROUND(SUMIF(其他补发!B:B,$C79,其他补发!I:I),2)</f>
        <v>0</v>
      </c>
      <c r="T79" s="17">
        <f>ROUND(SUMIF(其他补发!B:B,$C79,其他补发!E:E),2)</f>
        <v>0</v>
      </c>
      <c r="U79" s="17">
        <f>ROUND((VLOOKUP(C79,考勤!C:H,6,0)+VLOOKUP(C79,考勤!C:O,13,0)+VLOOKUP(C79,考勤!C:P,14,0)*0.3+VLOOKUP(C79,考勤!C:AA,25,0))*(P79+Q79+R79)/21.75,2)+ROUND((VLOOKUP(C79,考勤!C:V,19,0)+VLOOKUP(C79,考勤!C:V,20,0))*(P79+Q79+R79-2520)/21.75,2)</f>
        <v>20022.99</v>
      </c>
      <c r="V79" s="17">
        <f>ROUND(SUMIF(动态表!C:C,C79,动态表!AA:AA)+SUMIFS(其他补发!L:L,其他补发!B:B,C79),2)</f>
        <v>0</v>
      </c>
      <c r="W79" s="17">
        <f>ROUND(VLOOKUP(C79,考勤!C:K,9,0)*P79/21.75/8*2+VLOOKUP(C79,考勤!C:L,10,0)*P79/21.75/8*3,2)+SUMIFS(加班费!$H:$H,加班费!$D:$D,$C79)</f>
        <v>0</v>
      </c>
      <c r="X79" s="17">
        <f>SUMIF(奖金!D:D,C79,奖金!F:F)</f>
        <v>0</v>
      </c>
      <c r="Y79" s="17">
        <f>SUMIF(其他补发!B:B,C79,其他补发!J:J)</f>
        <v>0</v>
      </c>
      <c r="Z79" s="17">
        <f>SUMIF(其他补发!B:B,C79,其他补发!F:F)</f>
        <v>0</v>
      </c>
      <c r="AA79" s="17">
        <f>SUMIF(其他补发!B:B,C79,其他补发!G:G)</f>
        <v>0</v>
      </c>
      <c r="AB79" s="17">
        <f>SUMIF(其他补发!B:B,C79,其他补发!M:M)</f>
        <v>0</v>
      </c>
      <c r="AC79" s="17">
        <f>SUMIF(其他补发!B:B,C79,其他补发!N:N)</f>
        <v>0</v>
      </c>
      <c r="AD79" s="17">
        <f>SUMIF(其他补发!B:B,C79,其他补发!K:K)</f>
        <v>0</v>
      </c>
      <c r="AE79" s="17">
        <f>AD79+AC79+AB79+AA79+Z79+Y79+X79+W79</f>
        <v>0</v>
      </c>
      <c r="AF79" s="17">
        <f>ROUND((P79+Q79+R79+S79+T79-U79-V79+AE79),2)</f>
        <v>5977.01</v>
      </c>
      <c r="AG79" s="17">
        <f>SUMIF(税后扣款!B:B,C79,税后扣款!E:E)</f>
        <v>0</v>
      </c>
      <c r="AH79" s="17">
        <f>SUMIF(房租水电!A:A,C79,房租水电!C:C)</f>
        <v>0</v>
      </c>
      <c r="AI79" s="17">
        <f>SUMIF(房租水电!A:A,C79,房租水电!D:D)</f>
        <v>0</v>
      </c>
      <c r="AJ79" s="17">
        <f>SUMIF(税后扣款!B:B,C79,税后扣款!D:D)</f>
        <v>0</v>
      </c>
      <c r="AK79" s="17">
        <f>AJ79+AI79+AH79+AG79</f>
        <v>0</v>
      </c>
      <c r="AL79" s="17">
        <f>SUMIF(社会保险!D:D,N79,社会保险!I:I)</f>
        <v>0</v>
      </c>
      <c r="AM79" s="17">
        <f>SUMIF(社会保险!D:D,N79,社会保险!J:J)</f>
        <v>0</v>
      </c>
      <c r="AN79" s="17">
        <f>SUMIF(社会保险!D:D,N79,社会保险!K:K)</f>
        <v>0</v>
      </c>
      <c r="AO79" s="17">
        <f>SUMIF(公积金!C:C,N79,公积金!L:L)</f>
        <v>0</v>
      </c>
      <c r="AP79" s="17">
        <f>SUMIF(专项扣除!$B:$B,$C79,专项扣除!D:D)</f>
        <v>0</v>
      </c>
      <c r="AQ79" s="17">
        <f>SUMIF(专项扣除!$B:$B,$C79,专项扣除!E:E)</f>
        <v>0</v>
      </c>
      <c r="AR79" s="17">
        <f>SUMIF(专项扣除!$B:$B,$C79,专项扣除!F:F)</f>
        <v>0</v>
      </c>
      <c r="AS79" s="17">
        <f>SUMIF(专项扣除!$B:$B,$C79,专项扣除!G:G)</f>
        <v>0</v>
      </c>
      <c r="AT79" s="17">
        <f>SUMIF(专项扣除!$B:$B,$C79,专项扣除!H:H)</f>
        <v>0</v>
      </c>
      <c r="AU79" s="17">
        <f>SUMIF(专项扣除!$B:$B,$C79,专项扣除!I:I)</f>
        <v>0</v>
      </c>
      <c r="AV79" s="17">
        <f>SUMIF(专项扣除!$B:$B,$C79,专项扣除!J:J)</f>
        <v>0</v>
      </c>
      <c r="AW79" s="17">
        <v>5000</v>
      </c>
      <c r="AX79" s="17">
        <f>AL79+AM79+AN79+AO79+AW79</f>
        <v>5000</v>
      </c>
      <c r="AY79" s="17">
        <f>SUMIF(上月累计工资累计社保和公积金!C:C,C79,上月累计工资累计社保和公积金!E:E)</f>
        <v>0</v>
      </c>
      <c r="AZ79" s="17">
        <f>IF(E79="实习人员",(AY79+AF79)*80%,AY79+AF79)</f>
        <v>5977.01</v>
      </c>
      <c r="BA79" s="17">
        <f>SUMIF(上月累计工资累计社保和公积金!C:C,C79,上月累计工资累计社保和公积金!K:K)</f>
        <v>0</v>
      </c>
      <c r="BB79" s="17">
        <f>BA79+AX79</f>
        <v>5000</v>
      </c>
      <c r="BC79" s="17">
        <f>ROUND(MAX((AZ79-BB79-AP79-AQ79-AR79-AS79-AT79-AU79-AV79)*0.01*{3,10,20,25,30,35,45}-{0,2520,16920,31920,52920,85920,181920},0),2)</f>
        <v>29.31</v>
      </c>
      <c r="BD79" s="17">
        <f>SUMIF(上月累计工资累计社保和公积金!C:C,C79,上月累计工资累计社保和公积金!L:L)</f>
        <v>0</v>
      </c>
      <c r="BE79" s="17">
        <f>IF((BC79-BD79)&lt;0,0,((BC79-BD79)))</f>
        <v>29.31</v>
      </c>
      <c r="BF79" s="17">
        <f>ROUND((AF79-AK79-BE79-AL79-AM79-AN79-AO79),2)</f>
        <v>5947.7</v>
      </c>
      <c r="BG79" s="231"/>
      <c r="BH79" s="232" t="str">
        <f>VLOOKUP(C79,考勤!C:AL,36,0)</f>
        <v>homway@youdoogo.com</v>
      </c>
      <c r="BI79" s="233">
        <f>P79+Q79+R79+S79+T79-U79-V79+W79+X79+Y79+Z79+AA79+AB79+AC79+AD79-AG79-AH79-AI79-AJ79-AL79-AM79-AN79-AO79-BE79-BF79</f>
        <v>0</v>
      </c>
      <c r="BJ79" s="236"/>
      <c r="BK79" s="235"/>
      <c r="BL79" s="235"/>
      <c r="BM79" s="235"/>
      <c r="BN79" s="235"/>
    </row>
    <row r="80" s="202" customFormat="1" ht="15.75" customHeight="1" spans="1:66">
      <c r="A80" s="224">
        <f t="shared" si="9"/>
        <v>78</v>
      </c>
      <c r="B80" s="225" t="s">
        <v>101</v>
      </c>
      <c r="C80" s="225" t="s">
        <v>474</v>
      </c>
      <c r="D80" s="225" t="s">
        <v>475</v>
      </c>
      <c r="E80" s="226" t="s">
        <v>312</v>
      </c>
      <c r="F80" s="226" t="s">
        <v>101</v>
      </c>
      <c r="G80" s="226" t="s">
        <v>69</v>
      </c>
      <c r="H80" s="228">
        <v>46234</v>
      </c>
      <c r="I80" s="229"/>
      <c r="J80" s="230" t="s">
        <v>33</v>
      </c>
      <c r="K80" s="226" t="s">
        <v>476</v>
      </c>
      <c r="L80" s="227">
        <v>1</v>
      </c>
      <c r="M80" s="230" t="s">
        <v>33</v>
      </c>
      <c r="N80" s="345" t="s">
        <v>477</v>
      </c>
      <c r="O80" s="344" t="s">
        <v>478</v>
      </c>
      <c r="P80" s="17">
        <v>4000</v>
      </c>
      <c r="Q80" s="17">
        <f>ROUND(SUMIF(其他补发!B:B,$C80,其他补发!D:D),2)</f>
        <v>0</v>
      </c>
      <c r="R80" s="17">
        <f>ROUND(SUMIF(其他补发!B:B,$C80,其他补发!H:H),2)</f>
        <v>0</v>
      </c>
      <c r="S80" s="17">
        <f>ROUND(SUMIF(其他补发!B:B,$C80,其他补发!I:I),2)</f>
        <v>0</v>
      </c>
      <c r="T80" s="17">
        <f>ROUND(SUMIF(其他补发!B:B,$C80,其他补发!E:E),2)</f>
        <v>0</v>
      </c>
      <c r="U80" s="17">
        <f>ROUND((VLOOKUP(C80,考勤!C:H,6,0)+VLOOKUP(C80,考勤!C:O,13,0)+VLOOKUP(C80,考勤!C:P,14,0)*0.3+VLOOKUP(C80,考勤!C:AA,25,0))*(P80+Q80+R80)/21.75,2)+ROUND((VLOOKUP(C80,考勤!C:V,19,0)+VLOOKUP(C80,考勤!C:V,20,0))*(P80+Q80+R80-2520)/21.75,2)</f>
        <v>3816.09</v>
      </c>
      <c r="V80" s="17">
        <f>ROUND(SUMIF(动态表!C:C,C80,动态表!AA:AA)+SUMIFS(其他补发!L:L,其他补发!B:B,C80),2)</f>
        <v>0</v>
      </c>
      <c r="W80" s="17">
        <f>ROUND(VLOOKUP(C80,考勤!C:K,9,0)*P80/21.75/8*2+VLOOKUP(C80,考勤!C:L,10,0)*P80/21.75/8*3,2)+SUMIFS(加班费!$H:$H,加班费!$D:$D,$C80)</f>
        <v>0</v>
      </c>
      <c r="X80" s="17">
        <f>SUMIF(奖金!D:D,C80,奖金!F:F)</f>
        <v>0</v>
      </c>
      <c r="Y80" s="17">
        <f>SUMIF(其他补发!B:B,C80,其他补发!J:J)</f>
        <v>0</v>
      </c>
      <c r="Z80" s="17">
        <f>SUMIF(其他补发!B:B,C80,其他补发!F:F)</f>
        <v>0</v>
      </c>
      <c r="AA80" s="17">
        <f>SUMIF(其他补发!B:B,C80,其他补发!G:G)</f>
        <v>0</v>
      </c>
      <c r="AB80" s="17">
        <f>SUMIF(其他补发!B:B,C80,其他补发!M:M)</f>
        <v>0</v>
      </c>
      <c r="AC80" s="17">
        <f>SUMIF(其他补发!B:B,C80,其他补发!N:N)</f>
        <v>0</v>
      </c>
      <c r="AD80" s="17">
        <f>SUMIF(其他补发!B:B,C80,其他补发!K:K)</f>
        <v>0</v>
      </c>
      <c r="AE80" s="17">
        <f>AD80+AC80+AB80+AA80+Z80+Y80+X80+W80</f>
        <v>0</v>
      </c>
      <c r="AF80" s="17">
        <f>ROUND((P80+Q80+R80+S80+T80-U80-V80+AE80),2)</f>
        <v>183.91</v>
      </c>
      <c r="AG80" s="17">
        <f>SUMIF(税后扣款!B:B,C80,税后扣款!E:E)</f>
        <v>0</v>
      </c>
      <c r="AH80" s="17">
        <f>SUMIF(房租水电!A:A,C80,房租水电!C:C)</f>
        <v>0</v>
      </c>
      <c r="AI80" s="17">
        <f>SUMIF(房租水电!A:A,C80,房租水电!D:D)</f>
        <v>0</v>
      </c>
      <c r="AJ80" s="17">
        <f>SUMIF(税后扣款!B:B,C80,税后扣款!D:D)</f>
        <v>0</v>
      </c>
      <c r="AK80" s="17">
        <f>AJ80+AI80+AH80+AG80</f>
        <v>0</v>
      </c>
      <c r="AL80" s="17">
        <f>SUMIF(社会保险!D:D,N80,社会保险!I:I)</f>
        <v>0</v>
      </c>
      <c r="AM80" s="17">
        <f>SUMIF(社会保险!D:D,N80,社会保险!J:J)</f>
        <v>0</v>
      </c>
      <c r="AN80" s="17">
        <f>SUMIF(社会保险!D:D,N80,社会保险!K:K)</f>
        <v>0</v>
      </c>
      <c r="AO80" s="17">
        <f>SUMIF(公积金!C:C,N80,公积金!L:L)</f>
        <v>0</v>
      </c>
      <c r="AP80" s="17">
        <f>SUMIF(专项扣除!$B:$B,$C80,专项扣除!D:D)</f>
        <v>0</v>
      </c>
      <c r="AQ80" s="17">
        <f>SUMIF(专项扣除!$B:$B,$C80,专项扣除!E:E)</f>
        <v>0</v>
      </c>
      <c r="AR80" s="17">
        <f>SUMIF(专项扣除!$B:$B,$C80,专项扣除!F:F)</f>
        <v>0</v>
      </c>
      <c r="AS80" s="17">
        <f>SUMIF(专项扣除!$B:$B,$C80,专项扣除!G:G)</f>
        <v>0</v>
      </c>
      <c r="AT80" s="17">
        <f>SUMIF(专项扣除!$B:$B,$C80,专项扣除!H:H)</f>
        <v>0</v>
      </c>
      <c r="AU80" s="17">
        <f>SUMIF(专项扣除!$B:$B,$C80,专项扣除!I:I)</f>
        <v>0</v>
      </c>
      <c r="AV80" s="17">
        <f>SUMIF(专项扣除!$B:$B,$C80,专项扣除!J:J)</f>
        <v>0</v>
      </c>
      <c r="AW80" s="17">
        <v>5000</v>
      </c>
      <c r="AX80" s="17">
        <f>AL80+AM80+AN80+AO80+AW80</f>
        <v>5000</v>
      </c>
      <c r="AY80" s="17">
        <f>SUMIF(上月累计工资累计社保和公积金!C:C,C80,上月累计工资累计社保和公积金!E:E)</f>
        <v>0</v>
      </c>
      <c r="AZ80" s="17">
        <f>IF(E80="实习人员",(AY80+AF80)*80%,AY80+AF80)</f>
        <v>147.128</v>
      </c>
      <c r="BA80" s="17">
        <f>SUMIF(上月累计工资累计社保和公积金!C:C,C80,上月累计工资累计社保和公积金!K:K)</f>
        <v>0</v>
      </c>
      <c r="BB80" s="17">
        <f>BA80+AX80</f>
        <v>5000</v>
      </c>
      <c r="BC80" s="17">
        <f>ROUND(MAX((AZ80-BB80-AP80-AQ80-AR80-AS80-AT80-AU80-AV80)*0.01*{3,10,20,25,30,35,45}-{0,2520,16920,31920,52920,85920,181920},0),2)</f>
        <v>0</v>
      </c>
      <c r="BD80" s="17">
        <f>SUMIF(上月累计工资累计社保和公积金!C:C,C80,上月累计工资累计社保和公积金!L:L)</f>
        <v>0</v>
      </c>
      <c r="BE80" s="17">
        <f>IF((BC80-BD80)&lt;0,0,((BC80-BD80)))</f>
        <v>0</v>
      </c>
      <c r="BF80" s="17">
        <f>ROUND((AF80-AK80-BE80-AL80-AM80-AN80-AO80),2)</f>
        <v>183.91</v>
      </c>
      <c r="BG80" s="231"/>
      <c r="BH80" s="232" t="str">
        <f>VLOOKUP(C80,考勤!C:AL,36,0)</f>
        <v>Wind@youdoogo.com</v>
      </c>
      <c r="BI80" s="233">
        <f>P80+Q80+R80+S80+T80-U80-V80+W80+X80+Y80+Z80+AA80+AB80+AC80+AD80-AG80-AH80-AI80-AJ80-AL80-AM80-AN80-AO80-BE80-BF80</f>
        <v>0</v>
      </c>
      <c r="BJ80" s="236"/>
      <c r="BK80" s="235"/>
      <c r="BL80" s="235"/>
      <c r="BM80" s="235"/>
      <c r="BN80" s="235"/>
    </row>
    <row r="81" s="202" customFormat="1" ht="15.75" customHeight="1" spans="1:66">
      <c r="A81" s="224"/>
      <c r="B81" s="225"/>
      <c r="C81" s="225"/>
      <c r="D81" s="225"/>
      <c r="E81" s="226"/>
      <c r="F81" s="226"/>
      <c r="G81" s="226"/>
      <c r="H81" s="228"/>
      <c r="I81" s="229"/>
      <c r="J81" s="226"/>
      <c r="K81" s="226"/>
      <c r="L81" s="227"/>
      <c r="M81" s="226"/>
      <c r="N81" s="226"/>
      <c r="O81" s="226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231"/>
      <c r="BH81" s="232"/>
      <c r="BI81" s="233"/>
      <c r="BJ81" s="236"/>
      <c r="BK81" s="235"/>
      <c r="BL81" s="235"/>
      <c r="BM81" s="235"/>
      <c r="BN81" s="235"/>
    </row>
    <row r="82" s="202" customFormat="1" ht="15.75" customHeight="1" spans="1:66">
      <c r="A82" s="224"/>
      <c r="B82" s="225"/>
      <c r="C82" s="226"/>
      <c r="D82" s="226"/>
      <c r="E82" s="226"/>
      <c r="F82" s="226"/>
      <c r="G82" s="226"/>
      <c r="H82" s="229"/>
      <c r="I82" s="229"/>
      <c r="J82" s="226"/>
      <c r="K82" s="226"/>
      <c r="L82" s="227"/>
      <c r="M82" s="226"/>
      <c r="N82" s="226"/>
      <c r="O82" s="226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231"/>
      <c r="BH82" s="232"/>
      <c r="BI82" s="233"/>
      <c r="BJ82" s="236"/>
      <c r="BK82" s="235"/>
      <c r="BL82" s="235"/>
      <c r="BM82" s="235"/>
      <c r="BN82" s="235"/>
    </row>
    <row r="83" ht="15.75" customHeight="1" spans="1:66">
      <c r="A83" s="239" t="s">
        <v>39</v>
      </c>
      <c r="B83" s="240"/>
      <c r="C83" s="241"/>
      <c r="D83" s="242"/>
      <c r="E83" s="242"/>
      <c r="F83" s="242"/>
      <c r="G83" s="243"/>
      <c r="H83" s="244"/>
      <c r="I83" s="245"/>
      <c r="J83" s="242"/>
      <c r="K83" s="242"/>
      <c r="L83" s="243">
        <f>SUM(L3:L82)</f>
        <v>78</v>
      </c>
      <c r="M83" s="243"/>
      <c r="N83" s="246"/>
      <c r="O83" s="246"/>
      <c r="P83" s="246">
        <f>SUM(SUM(P3:P82))</f>
        <v>1790300</v>
      </c>
      <c r="Q83" s="246">
        <f t="shared" ref="Q83:BF83" si="19">SUM(SUM(Q3:Q82))</f>
        <v>0</v>
      </c>
      <c r="R83" s="246">
        <f t="shared" si="19"/>
        <v>0</v>
      </c>
      <c r="S83" s="246">
        <f t="shared" si="19"/>
        <v>0</v>
      </c>
      <c r="T83" s="246">
        <f t="shared" si="19"/>
        <v>0</v>
      </c>
      <c r="U83" s="246">
        <f t="shared" si="19"/>
        <v>49494.26</v>
      </c>
      <c r="V83" s="246">
        <f t="shared" si="19"/>
        <v>0</v>
      </c>
      <c r="W83" s="246">
        <f t="shared" si="19"/>
        <v>0</v>
      </c>
      <c r="X83" s="246">
        <f t="shared" si="19"/>
        <v>0</v>
      </c>
      <c r="Y83" s="246">
        <f t="shared" si="19"/>
        <v>0</v>
      </c>
      <c r="Z83" s="246">
        <f t="shared" si="19"/>
        <v>0</v>
      </c>
      <c r="AA83" s="246">
        <f t="shared" si="19"/>
        <v>0</v>
      </c>
      <c r="AB83" s="246">
        <f t="shared" si="19"/>
        <v>0</v>
      </c>
      <c r="AC83" s="246">
        <f t="shared" si="19"/>
        <v>0</v>
      </c>
      <c r="AD83" s="246">
        <f t="shared" si="19"/>
        <v>800</v>
      </c>
      <c r="AE83" s="246">
        <f t="shared" si="19"/>
        <v>800</v>
      </c>
      <c r="AF83" s="246">
        <f t="shared" si="19"/>
        <v>1741605.74</v>
      </c>
      <c r="AG83" s="246">
        <f t="shared" si="19"/>
        <v>0</v>
      </c>
      <c r="AH83" s="246">
        <f t="shared" si="19"/>
        <v>0</v>
      </c>
      <c r="AI83" s="246">
        <f t="shared" si="19"/>
        <v>0</v>
      </c>
      <c r="AJ83" s="246">
        <f t="shared" si="19"/>
        <v>-699.99</v>
      </c>
      <c r="AK83" s="246">
        <f t="shared" si="19"/>
        <v>-699.99</v>
      </c>
      <c r="AL83" s="246">
        <f t="shared" si="19"/>
        <v>119278.4</v>
      </c>
      <c r="AM83" s="246">
        <f t="shared" si="19"/>
        <v>31611.92</v>
      </c>
      <c r="AN83" s="246">
        <f t="shared" si="19"/>
        <v>3371.42</v>
      </c>
      <c r="AO83" s="246">
        <f t="shared" si="19"/>
        <v>131083.1</v>
      </c>
      <c r="AP83" s="246">
        <f t="shared" si="19"/>
        <v>42000</v>
      </c>
      <c r="AQ83" s="246">
        <f t="shared" si="19"/>
        <v>0</v>
      </c>
      <c r="AR83" s="246">
        <f t="shared" si="19"/>
        <v>14000</v>
      </c>
      <c r="AS83" s="246">
        <f t="shared" si="19"/>
        <v>30000</v>
      </c>
      <c r="AT83" s="246">
        <f t="shared" si="19"/>
        <v>36000</v>
      </c>
      <c r="AU83" s="246">
        <f t="shared" si="19"/>
        <v>0</v>
      </c>
      <c r="AV83" s="246">
        <f t="shared" si="19"/>
        <v>0</v>
      </c>
      <c r="AW83" s="246">
        <f t="shared" si="19"/>
        <v>390000</v>
      </c>
      <c r="AX83" s="246">
        <f t="shared" si="19"/>
        <v>675344.84</v>
      </c>
      <c r="AY83" s="246">
        <f t="shared" si="19"/>
        <v>8241975.06</v>
      </c>
      <c r="AZ83" s="246">
        <f t="shared" si="19"/>
        <v>9975978.962</v>
      </c>
      <c r="BA83" s="246">
        <f t="shared" si="19"/>
        <v>2919300.62</v>
      </c>
      <c r="BB83" s="246">
        <f t="shared" si="19"/>
        <v>3594645.46</v>
      </c>
      <c r="BC83" s="246">
        <f t="shared" si="19"/>
        <v>605072.32</v>
      </c>
      <c r="BD83" s="246">
        <f t="shared" si="19"/>
        <v>478076.91</v>
      </c>
      <c r="BE83" s="246">
        <f t="shared" si="19"/>
        <v>126995.41</v>
      </c>
      <c r="BF83" s="246">
        <f t="shared" si="19"/>
        <v>1329965.48</v>
      </c>
      <c r="BG83" s="231"/>
      <c r="BH83" s="232"/>
      <c r="BI83" s="247">
        <f>P83+Q83+R83+S83+T83-U83-V83+W83+X83+Y83+Z83+AA83+AB83+AC83+AD83-AG83-AH83-AI83-AJ83-AL83-AM83-AN83-AO83-BE83-BF83</f>
        <v>0</v>
      </c>
    </row>
    <row r="84" spans="1:66">
      <c r="A84" s="248"/>
      <c r="B84" s="249"/>
      <c r="C84" s="249"/>
      <c r="D84" s="35"/>
      <c r="E84" s="35"/>
      <c r="F84" s="35"/>
      <c r="G84" s="30"/>
      <c r="H84" s="250"/>
      <c r="I84" s="56"/>
      <c r="J84" s="35"/>
      <c r="K84" s="35"/>
      <c r="L84" s="251"/>
      <c r="M84" s="30"/>
      <c r="N84" s="252"/>
      <c r="O84" s="252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  <c r="AA84" s="252"/>
      <c r="AB84" s="252"/>
      <c r="AC84" s="252"/>
      <c r="AD84" s="252"/>
      <c r="AE84" s="252"/>
      <c r="AF84" s="252"/>
      <c r="AG84" s="252"/>
      <c r="AH84" s="252"/>
      <c r="AI84" s="252"/>
      <c r="AJ84" s="252"/>
      <c r="AK84" s="252"/>
      <c r="AL84" s="252"/>
      <c r="AM84" s="252"/>
      <c r="AN84" s="252"/>
      <c r="AO84" s="252"/>
      <c r="AP84" s="252"/>
      <c r="AQ84" s="252"/>
      <c r="AR84" s="252"/>
      <c r="AS84" s="252"/>
      <c r="AT84" s="252"/>
      <c r="AU84" s="252"/>
      <c r="AV84" s="252"/>
      <c r="AW84" s="252"/>
      <c r="AX84" s="252"/>
      <c r="AY84" s="252"/>
      <c r="AZ84" s="252"/>
      <c r="BA84" s="252"/>
      <c r="BB84" s="252"/>
      <c r="BC84" s="252"/>
      <c r="BD84" s="252"/>
      <c r="BE84" s="252"/>
      <c r="BF84" s="252"/>
      <c r="BG84" s="252"/>
      <c r="BH84" s="232"/>
      <c r="BI84" s="233"/>
    </row>
    <row r="85" spans="1:66">
      <c r="A85" s="248"/>
      <c r="B85" s="249"/>
      <c r="C85" s="249"/>
      <c r="D85" s="35"/>
      <c r="E85" s="35"/>
      <c r="F85" s="253"/>
      <c r="G85" s="30"/>
      <c r="H85" s="250"/>
      <c r="I85" s="56"/>
      <c r="J85" s="35"/>
      <c r="K85" s="35"/>
      <c r="L85" s="251"/>
      <c r="M85" s="37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  <c r="AA85" s="252"/>
      <c r="AB85" s="252"/>
      <c r="AC85" s="252"/>
      <c r="AD85" s="252"/>
      <c r="AE85" s="252"/>
      <c r="AF85" s="252"/>
      <c r="AG85" s="252"/>
      <c r="AH85" s="252"/>
      <c r="AI85" s="252"/>
      <c r="AJ85" s="252"/>
      <c r="AK85" s="252"/>
      <c r="AL85" s="252"/>
      <c r="AM85" s="252"/>
      <c r="AN85" s="252"/>
      <c r="AO85" s="252"/>
      <c r="AP85" s="252"/>
      <c r="AQ85" s="252"/>
      <c r="AR85" s="252"/>
      <c r="AS85" s="252"/>
      <c r="AT85" s="252"/>
      <c r="AU85" s="252"/>
      <c r="AV85" s="252"/>
      <c r="AW85" s="252"/>
      <c r="AX85" s="252"/>
      <c r="AY85" s="252"/>
      <c r="AZ85" s="252"/>
      <c r="BA85" s="252"/>
      <c r="BB85" s="252"/>
      <c r="BC85" s="252"/>
      <c r="BD85" s="252"/>
      <c r="BE85" s="252"/>
      <c r="BF85" s="252"/>
      <c r="BG85" s="252"/>
      <c r="BH85" s="232"/>
      <c r="BI85" s="233"/>
    </row>
    <row r="86" spans="1:66">
      <c r="A86" s="248"/>
      <c r="B86" s="249"/>
      <c r="C86" s="249"/>
      <c r="D86" s="35"/>
      <c r="E86" s="35"/>
      <c r="F86" s="253"/>
      <c r="G86" s="30"/>
      <c r="H86" s="250"/>
      <c r="I86" s="56"/>
      <c r="J86" s="35"/>
      <c r="K86" s="35"/>
      <c r="L86" s="251"/>
      <c r="M86" s="37"/>
      <c r="N86" s="252"/>
      <c r="O86" s="252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  <c r="AA86" s="252"/>
      <c r="AB86" s="252"/>
      <c r="AC86" s="252"/>
      <c r="AD86" s="252"/>
      <c r="AE86" s="252"/>
      <c r="AF86" s="252"/>
      <c r="AG86" s="252"/>
      <c r="AH86" s="252"/>
      <c r="AI86" s="252"/>
      <c r="AJ86" s="252"/>
      <c r="AK86" s="252"/>
      <c r="AL86" s="252"/>
      <c r="AM86" s="252"/>
      <c r="AN86" s="252"/>
      <c r="AO86" s="252"/>
      <c r="AP86" s="252"/>
      <c r="AQ86" s="252"/>
      <c r="AR86" s="252"/>
      <c r="AS86" s="252"/>
      <c r="AT86" s="252"/>
      <c r="AU86" s="252"/>
      <c r="AV86" s="252"/>
      <c r="AW86" s="252"/>
      <c r="AX86" s="252"/>
      <c r="AY86" s="252"/>
      <c r="AZ86" s="252"/>
      <c r="BA86" s="252"/>
      <c r="BB86" s="252"/>
      <c r="BC86" s="254"/>
      <c r="BD86" s="252"/>
      <c r="BE86" s="252"/>
      <c r="BF86" s="252"/>
      <c r="BG86" s="252"/>
      <c r="BH86" s="232"/>
      <c r="BI86" s="233"/>
    </row>
    <row r="87" s="203" customFormat="1" ht="18" spans="1:66">
      <c r="A87" s="248"/>
      <c r="B87" s="255" t="s">
        <v>57</v>
      </c>
      <c r="D87" s="35"/>
      <c r="E87" s="35"/>
      <c r="F87" s="35"/>
      <c r="G87" s="30"/>
      <c r="H87" s="256" t="s">
        <v>58</v>
      </c>
      <c r="I87" s="35"/>
      <c r="J87" s="35"/>
      <c r="K87" s="35"/>
      <c r="L87" s="251"/>
      <c r="M87" s="30"/>
      <c r="N87" s="252"/>
      <c r="O87" s="252"/>
      <c r="R87" s="257" t="s">
        <v>59</v>
      </c>
      <c r="T87" s="249"/>
      <c r="U87" s="249"/>
      <c r="W87" s="257"/>
      <c r="X87" s="249"/>
      <c r="Y87" s="257" t="s">
        <v>60</v>
      </c>
      <c r="AB87" s="257"/>
      <c r="AC87" s="257"/>
      <c r="AD87" s="249"/>
      <c r="AE87" s="249"/>
      <c r="AG87" s="197" t="s">
        <v>61</v>
      </c>
      <c r="AK87" s="249"/>
      <c r="AL87" s="249"/>
      <c r="AM87" s="249"/>
      <c r="AO87" s="197" t="s">
        <v>61</v>
      </c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54"/>
      <c r="BD87" s="249"/>
      <c r="BE87" s="249"/>
      <c r="BF87" s="249"/>
      <c r="BG87" s="249"/>
      <c r="BH87" s="258"/>
      <c r="BI87" s="259"/>
      <c r="BJ87" s="260"/>
      <c r="BK87" s="205"/>
      <c r="BL87" s="205"/>
      <c r="BM87" s="205"/>
      <c r="BN87" s="205"/>
    </row>
    <row r="88" s="203" customFormat="1" ht="18" spans="1:66">
      <c r="A88" s="248"/>
      <c r="B88" s="249"/>
      <c r="C88" s="261"/>
      <c r="D88" s="35"/>
      <c r="E88" s="35"/>
      <c r="F88" s="35"/>
      <c r="G88" s="30"/>
      <c r="H88" s="35"/>
      <c r="I88" s="35"/>
      <c r="J88" s="35"/>
      <c r="K88" s="35"/>
      <c r="L88" s="251"/>
      <c r="M88" s="30"/>
      <c r="N88" s="252"/>
      <c r="O88" s="252"/>
      <c r="P88" s="262"/>
      <c r="Q88" s="249"/>
      <c r="R88" s="249"/>
      <c r="T88" s="249"/>
      <c r="U88" s="249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54"/>
      <c r="BD88" s="249"/>
      <c r="BE88" s="249"/>
      <c r="BF88" s="254"/>
      <c r="BG88" s="249"/>
      <c r="BH88" s="258"/>
      <c r="BI88" s="259"/>
      <c r="BJ88" s="260"/>
      <c r="BK88" s="205"/>
      <c r="BL88" s="205"/>
      <c r="BM88" s="205"/>
      <c r="BN88" s="205"/>
    </row>
    <row r="89" s="203" customFormat="1" spans="1:66">
      <c r="A89" s="248"/>
      <c r="B89" s="249"/>
      <c r="C89" s="249"/>
      <c r="D89" s="35"/>
      <c r="E89" s="35"/>
      <c r="F89" s="35"/>
      <c r="G89" s="30"/>
      <c r="H89" s="35"/>
      <c r="I89" s="35"/>
      <c r="J89" s="35"/>
      <c r="K89" s="35"/>
      <c r="L89" s="251"/>
      <c r="M89" s="30"/>
      <c r="N89" s="252"/>
      <c r="O89" s="252"/>
      <c r="P89" s="262"/>
      <c r="Q89" s="249"/>
      <c r="R89" s="249"/>
      <c r="S89" s="249"/>
      <c r="T89" s="249"/>
      <c r="U89" s="249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54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54"/>
      <c r="BD89" s="249"/>
      <c r="BE89" s="249"/>
      <c r="BF89" s="249"/>
      <c r="BG89" s="249"/>
      <c r="BH89" s="258"/>
      <c r="BI89" s="259"/>
      <c r="BJ89" s="260"/>
      <c r="BK89" s="205"/>
      <c r="BL89" s="205"/>
      <c r="BM89" s="205"/>
      <c r="BN89" s="205"/>
    </row>
    <row r="90" s="203" customFormat="1" spans="1:66">
      <c r="A90" s="248"/>
      <c r="B90" s="249"/>
      <c r="C90" s="249"/>
      <c r="D90" s="35"/>
      <c r="E90" s="35"/>
      <c r="F90" s="35"/>
      <c r="G90" s="30"/>
      <c r="H90" s="35"/>
      <c r="I90" s="35"/>
      <c r="J90" s="35"/>
      <c r="K90" s="35"/>
      <c r="L90" s="251"/>
      <c r="M90" s="30"/>
      <c r="N90" s="252"/>
      <c r="O90" s="252"/>
      <c r="P90" s="262"/>
      <c r="Q90" s="249"/>
      <c r="R90" s="249"/>
      <c r="S90" s="249"/>
      <c r="T90" s="249"/>
      <c r="U90" s="249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54"/>
      <c r="BD90" s="249"/>
      <c r="BE90" s="249"/>
      <c r="BF90" s="249"/>
      <c r="BG90" s="249"/>
      <c r="BH90" s="258"/>
      <c r="BI90" s="259"/>
      <c r="BJ90" s="260"/>
      <c r="BK90" s="205"/>
      <c r="BL90" s="205"/>
      <c r="BM90" s="205"/>
      <c r="BN90" s="205"/>
    </row>
    <row r="91" s="203" customFormat="1" spans="1:66">
      <c r="A91" s="248"/>
      <c r="B91" s="249"/>
      <c r="C91" s="249"/>
      <c r="D91" s="35"/>
      <c r="E91" s="35"/>
      <c r="F91" s="35"/>
      <c r="G91" s="30"/>
      <c r="H91" s="35"/>
      <c r="I91" s="35"/>
      <c r="J91" s="35"/>
      <c r="K91" s="35"/>
      <c r="L91" s="251"/>
      <c r="M91" s="30"/>
      <c r="N91" s="252"/>
      <c r="O91" s="252"/>
      <c r="P91" s="262"/>
      <c r="Q91" s="249"/>
      <c r="R91" s="249"/>
      <c r="S91" s="249"/>
      <c r="T91" s="249"/>
      <c r="U91" s="249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54"/>
      <c r="BD91" s="249"/>
      <c r="BE91" s="249"/>
      <c r="BF91" s="249"/>
      <c r="BG91" s="249"/>
      <c r="BH91" s="258"/>
      <c r="BI91" s="259"/>
      <c r="BJ91" s="260"/>
      <c r="BK91" s="205"/>
      <c r="BL91" s="205"/>
      <c r="BM91" s="205"/>
      <c r="BN91" s="205"/>
    </row>
    <row r="92" s="204" customFormat="1" spans="1:66">
      <c r="A92" s="248"/>
      <c r="B92" s="254"/>
      <c r="C92" s="254"/>
      <c r="D92" s="36"/>
      <c r="E92" s="36"/>
      <c r="F92" s="81" t="s">
        <v>479</v>
      </c>
      <c r="G92" s="30"/>
      <c r="H92" s="36"/>
      <c r="I92" s="36"/>
      <c r="J92" s="36"/>
      <c r="K92" s="36"/>
      <c r="L92" s="251"/>
      <c r="M92" s="37"/>
      <c r="N92" s="254"/>
      <c r="O92" s="254"/>
      <c r="P92" s="254">
        <f>P83-汇总!D9</f>
        <v>0</v>
      </c>
      <c r="Q92" s="254">
        <f>Q83-汇总!E9</f>
        <v>0</v>
      </c>
      <c r="R92" s="254">
        <f>R83-汇总!F9</f>
        <v>0</v>
      </c>
      <c r="S92" s="254">
        <f>S83-汇总!G9</f>
        <v>0</v>
      </c>
      <c r="T92" s="254">
        <f>T83-汇总!H9</f>
        <v>0</v>
      </c>
      <c r="U92" s="254">
        <f>U83-汇总!I9</f>
        <v>0</v>
      </c>
      <c r="V92" s="254">
        <f>V83-汇总!J9</f>
        <v>0</v>
      </c>
      <c r="W92" s="254">
        <f>W83-汇总!K9</f>
        <v>0</v>
      </c>
      <c r="X92" s="254">
        <f>X83-汇总!L9</f>
        <v>0</v>
      </c>
      <c r="Y92" s="254">
        <f>Y83-汇总!M9</f>
        <v>0</v>
      </c>
      <c r="Z92" s="254">
        <f>Z83-汇总!N9</f>
        <v>0</v>
      </c>
      <c r="AA92" s="254">
        <f>AA83-汇总!O9</f>
        <v>0</v>
      </c>
      <c r="AB92" s="254">
        <f>AB83-汇总!P9</f>
        <v>0</v>
      </c>
      <c r="AC92" s="254">
        <f>AC83-汇总!Q9</f>
        <v>0</v>
      </c>
      <c r="AD92" s="254">
        <f>AD83-汇总!R9</f>
        <v>0</v>
      </c>
      <c r="AE92" s="254">
        <f>AE83-汇总!S9</f>
        <v>0</v>
      </c>
      <c r="AF92" s="254">
        <f>AF83-汇总!T9</f>
        <v>0</v>
      </c>
      <c r="AG92" s="254">
        <f>AG83-汇总!U9</f>
        <v>0</v>
      </c>
      <c r="AH92" s="254">
        <f>AH83-汇总!V9</f>
        <v>0</v>
      </c>
      <c r="AI92" s="254">
        <f>AI83-汇总!W9</f>
        <v>0</v>
      </c>
      <c r="AJ92" s="254">
        <f>AJ83-汇总!X9</f>
        <v>0</v>
      </c>
      <c r="AK92" s="254">
        <f>AK83-汇总!Y9</f>
        <v>0</v>
      </c>
      <c r="AL92" s="254">
        <f>AL83-汇总!Z9</f>
        <v>0</v>
      </c>
      <c r="AM92" s="254">
        <f>AM83-汇总!AA9</f>
        <v>0</v>
      </c>
      <c r="AN92" s="254">
        <f>AN83-汇总!AB9</f>
        <v>0</v>
      </c>
      <c r="AO92" s="254">
        <f>AO83-汇总!AC9</f>
        <v>0</v>
      </c>
      <c r="AP92" s="254"/>
      <c r="AQ92" s="254"/>
      <c r="AR92" s="254"/>
      <c r="AS92" s="254"/>
      <c r="AT92" s="254"/>
      <c r="AU92" s="254"/>
      <c r="AV92" s="254"/>
      <c r="AW92" s="254"/>
      <c r="AX92" s="254"/>
      <c r="AY92" s="254"/>
      <c r="AZ92" s="254"/>
      <c r="BA92" s="254"/>
      <c r="BB92" s="254"/>
      <c r="BC92" s="254"/>
      <c r="BD92" s="254"/>
      <c r="BE92" s="254">
        <f>BE83-汇总!AD9</f>
        <v>0</v>
      </c>
      <c r="BF92" s="254">
        <f>BF83-汇总!AE9</f>
        <v>0</v>
      </c>
      <c r="BG92" s="254"/>
      <c r="BH92" s="263"/>
      <c r="BI92" s="264"/>
      <c r="BJ92" s="265"/>
      <c r="BK92" s="205"/>
      <c r="BL92" s="205"/>
      <c r="BM92" s="205"/>
      <c r="BN92" s="205"/>
    </row>
    <row r="93" spans="1:66">
      <c r="A93" s="248"/>
      <c r="B93" s="249"/>
      <c r="C93" s="249"/>
      <c r="D93" s="35"/>
      <c r="E93" s="35"/>
      <c r="F93" s="35"/>
      <c r="G93" s="30"/>
      <c r="H93" s="250"/>
      <c r="I93" s="56"/>
      <c r="J93" s="35"/>
      <c r="K93" s="35"/>
      <c r="L93" s="251"/>
      <c r="M93" s="30"/>
      <c r="N93" s="252"/>
      <c r="O93" s="252"/>
      <c r="P93" s="252"/>
      <c r="Q93" s="252"/>
      <c r="R93" s="252"/>
      <c r="S93" s="252"/>
      <c r="T93" s="252"/>
      <c r="U93" s="252"/>
      <c r="V93" s="252"/>
      <c r="W93" s="252"/>
      <c r="X93" s="252"/>
      <c r="Y93" s="252"/>
      <c r="Z93" s="252"/>
      <c r="AA93" s="252"/>
      <c r="AB93" s="252"/>
      <c r="AC93" s="252"/>
      <c r="AD93" s="252"/>
      <c r="AE93" s="252"/>
      <c r="AF93" s="252"/>
      <c r="AG93" s="252"/>
      <c r="AH93" s="252"/>
      <c r="AI93" s="252"/>
      <c r="AJ93" s="252"/>
      <c r="AK93" s="252"/>
      <c r="AL93" s="252"/>
      <c r="AM93" s="252"/>
      <c r="AN93" s="252"/>
      <c r="AO93" s="252"/>
      <c r="AP93" s="252"/>
      <c r="AQ93" s="252"/>
      <c r="AR93" s="252"/>
      <c r="AS93" s="252"/>
      <c r="AT93" s="252"/>
      <c r="AU93" s="252"/>
      <c r="AV93" s="252"/>
      <c r="AW93" s="252"/>
      <c r="AX93" s="252"/>
      <c r="AY93" s="252"/>
      <c r="AZ93" s="252"/>
      <c r="BA93" s="252"/>
      <c r="BB93" s="252"/>
      <c r="BC93" s="254"/>
      <c r="BD93" s="252"/>
      <c r="BE93" s="252"/>
      <c r="BF93" s="252"/>
      <c r="BG93" s="252"/>
      <c r="BH93" s="232"/>
      <c r="BI93" s="233"/>
    </row>
    <row r="94" s="182" customFormat="1" spans="1:66">
      <c r="A94" s="205"/>
      <c r="B94" s="205"/>
      <c r="C94" s="205"/>
      <c r="D94" s="205"/>
      <c r="E94" s="206"/>
      <c r="F94" s="205"/>
      <c r="G94" s="205"/>
      <c r="H94" s="205"/>
      <c r="I94" s="205"/>
      <c r="J94" s="205"/>
      <c r="K94" s="206"/>
      <c r="L94" s="205"/>
      <c r="M94" s="205"/>
      <c r="N94" s="206"/>
      <c r="O94" s="206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205"/>
      <c r="AG94" s="205"/>
      <c r="AH94" s="205"/>
      <c r="AI94" s="205"/>
      <c r="AJ94" s="205"/>
      <c r="AK94" s="205"/>
      <c r="AL94" s="205"/>
      <c r="AM94" s="205"/>
      <c r="AN94" s="205"/>
      <c r="AO94" s="205"/>
      <c r="AP94" s="205"/>
      <c r="AQ94" s="205"/>
      <c r="AR94" s="205"/>
      <c r="AS94" s="205"/>
      <c r="AT94" s="205"/>
      <c r="AU94" s="205"/>
      <c r="AV94" s="205"/>
      <c r="AW94" s="205"/>
      <c r="AX94" s="205"/>
      <c r="AY94" s="205"/>
      <c r="AZ94" s="205"/>
      <c r="BA94" s="205"/>
      <c r="BB94" s="205"/>
      <c r="BC94" s="204"/>
      <c r="BD94" s="205"/>
      <c r="BE94" s="205"/>
      <c r="BF94" s="205"/>
      <c r="BG94" s="205"/>
      <c r="BH94" s="266"/>
      <c r="BI94" s="267"/>
      <c r="BJ94" s="267"/>
    </row>
    <row r="95" s="182" customFormat="1" spans="1:66">
      <c r="A95" s="205"/>
      <c r="B95" s="205"/>
      <c r="C95" s="205"/>
      <c r="D95" s="205"/>
      <c r="E95" s="206"/>
      <c r="F95" s="205"/>
      <c r="G95" s="205"/>
      <c r="H95" s="205"/>
      <c r="I95" s="205"/>
      <c r="J95" s="205"/>
      <c r="K95" s="206"/>
      <c r="L95" s="205"/>
      <c r="M95" s="205"/>
      <c r="N95" s="206"/>
      <c r="O95" s="206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  <c r="AC95" s="205"/>
      <c r="AD95" s="205"/>
      <c r="AE95" s="205"/>
      <c r="AF95" s="205"/>
      <c r="AG95" s="205"/>
      <c r="AH95" s="205"/>
      <c r="AI95" s="205"/>
      <c r="AJ95" s="205"/>
      <c r="AK95" s="205"/>
      <c r="AL95" s="205"/>
      <c r="AM95" s="205"/>
      <c r="AN95" s="205"/>
      <c r="AO95" s="205"/>
      <c r="AP95" s="205"/>
      <c r="AQ95" s="205"/>
      <c r="AR95" s="205"/>
      <c r="AS95" s="205"/>
      <c r="AT95" s="205"/>
      <c r="AU95" s="205"/>
      <c r="AV95" s="205"/>
      <c r="AW95" s="205"/>
      <c r="AX95" s="205"/>
      <c r="AY95" s="205"/>
      <c r="AZ95" s="205"/>
      <c r="BA95" s="205"/>
      <c r="BB95" s="205"/>
      <c r="BC95" s="204"/>
      <c r="BD95" s="205"/>
      <c r="BE95" s="205"/>
      <c r="BF95" s="205"/>
      <c r="BG95" s="205"/>
      <c r="BH95" s="266"/>
      <c r="BI95" s="267"/>
      <c r="BJ95" s="267"/>
    </row>
    <row r="96" s="1" customFormat="1" spans="1:66">
      <c r="B96" s="205"/>
      <c r="C96" s="205"/>
      <c r="D96" s="205"/>
      <c r="E96" s="205"/>
      <c r="F96" s="205"/>
      <c r="G96" s="205"/>
      <c r="H96" s="205"/>
      <c r="I96" s="205"/>
      <c r="J96" s="205"/>
      <c r="K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205"/>
      <c r="AA96" s="205"/>
      <c r="AB96" s="205"/>
      <c r="AC96" s="205"/>
      <c r="AD96" s="205"/>
      <c r="AE96" s="205"/>
      <c r="AF96" s="205"/>
      <c r="AG96" s="205"/>
      <c r="AH96" s="205"/>
      <c r="AI96" s="205"/>
      <c r="AJ96" s="205"/>
      <c r="AK96" s="205"/>
      <c r="AL96" s="205"/>
      <c r="AM96" s="205"/>
      <c r="AN96" s="205"/>
      <c r="AO96" s="205"/>
      <c r="AP96" s="205"/>
      <c r="AQ96" s="205"/>
      <c r="AR96" s="205"/>
      <c r="AS96" s="205"/>
      <c r="AT96" s="205"/>
      <c r="AU96" s="205"/>
      <c r="AV96" s="205"/>
      <c r="AW96" s="205"/>
      <c r="AX96" s="205"/>
      <c r="AY96" s="205"/>
      <c r="AZ96" s="205"/>
      <c r="BA96" s="205"/>
      <c r="BB96" s="205"/>
      <c r="BC96" s="205"/>
      <c r="BD96" s="205"/>
      <c r="BE96" s="205"/>
      <c r="BF96" s="205"/>
      <c r="BG96" s="205"/>
      <c r="BH96" s="266"/>
      <c r="BI96" s="267"/>
      <c r="BJ96" s="267"/>
    </row>
    <row r="97" s="1" customFormat="1" spans="2:62">
      <c r="C97" s="205"/>
      <c r="D97" s="205"/>
      <c r="E97" s="205"/>
      <c r="F97" s="205"/>
      <c r="G97" s="205"/>
      <c r="H97" s="205"/>
      <c r="I97" s="205"/>
      <c r="J97" s="205"/>
      <c r="K97" s="205"/>
      <c r="L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  <c r="AC97" s="205"/>
      <c r="AD97" s="205"/>
      <c r="AE97" s="205"/>
      <c r="AF97" s="205"/>
      <c r="AG97" s="205"/>
      <c r="AH97" s="205"/>
      <c r="AI97" s="205"/>
      <c r="AJ97" s="205"/>
      <c r="AK97" s="205"/>
      <c r="AL97" s="205"/>
      <c r="AM97" s="205"/>
      <c r="AN97" s="205"/>
      <c r="AO97" s="205"/>
      <c r="AP97" s="205"/>
      <c r="AQ97" s="205"/>
      <c r="AR97" s="205"/>
      <c r="AS97" s="205"/>
      <c r="AT97" s="205"/>
      <c r="AU97" s="205"/>
      <c r="AV97" s="205"/>
      <c r="AW97" s="205"/>
      <c r="AX97" s="205"/>
      <c r="AY97" s="205"/>
      <c r="AZ97" s="205"/>
      <c r="BA97" s="205"/>
      <c r="BB97" s="205"/>
      <c r="BC97" s="205"/>
      <c r="BD97" s="205"/>
      <c r="BE97" s="205"/>
      <c r="BF97" s="205"/>
      <c r="BG97" s="205"/>
      <c r="BH97" s="266"/>
      <c r="BI97" s="267"/>
      <c r="BJ97" s="267"/>
    </row>
    <row r="98" s="1" customFormat="1" spans="2:62">
      <c r="B98" s="33" t="s">
        <v>480</v>
      </c>
      <c r="C98" s="33">
        <v>76</v>
      </c>
      <c r="D98" s="33"/>
      <c r="E98" s="33"/>
      <c r="F98" s="205"/>
      <c r="G98" s="33"/>
      <c r="H98" s="33"/>
      <c r="I98" s="33"/>
      <c r="J98" s="33"/>
      <c r="K98" s="205"/>
      <c r="L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205"/>
      <c r="AC98" s="205"/>
      <c r="AD98" s="205"/>
      <c r="AE98" s="205"/>
      <c r="AF98" s="205"/>
      <c r="AG98" s="205"/>
      <c r="AH98" s="205"/>
      <c r="AI98" s="205"/>
      <c r="AJ98" s="205"/>
      <c r="AK98" s="205"/>
      <c r="AL98" s="205"/>
      <c r="AM98" s="205"/>
      <c r="AN98" s="205"/>
      <c r="AO98" s="205"/>
      <c r="AP98" s="205"/>
      <c r="AQ98" s="205"/>
      <c r="AR98" s="205"/>
      <c r="AS98" s="205"/>
      <c r="AT98" s="205"/>
      <c r="AU98" s="205"/>
      <c r="AV98" s="205"/>
      <c r="AW98" s="205"/>
      <c r="AX98" s="205"/>
      <c r="AY98" s="205"/>
      <c r="AZ98" s="205"/>
      <c r="BA98" s="205"/>
      <c r="BB98" s="205"/>
      <c r="BC98" s="205"/>
      <c r="BD98" s="205"/>
      <c r="BE98" s="205"/>
      <c r="BF98" s="205"/>
      <c r="BG98" s="205"/>
      <c r="BH98" s="266"/>
      <c r="BI98" s="267"/>
      <c r="BJ98" s="267"/>
    </row>
    <row r="99" s="1" customFormat="1" spans="2:62">
      <c r="B99" s="33" t="s">
        <v>481</v>
      </c>
      <c r="C99" s="33">
        <v>0</v>
      </c>
      <c r="D99" s="33"/>
      <c r="E99" s="33"/>
      <c r="F99" s="205"/>
      <c r="G99" s="33"/>
      <c r="H99" s="33"/>
      <c r="I99" s="33"/>
      <c r="J99" s="33"/>
      <c r="K99" s="205"/>
      <c r="L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205"/>
      <c r="AC99" s="205"/>
      <c r="AD99" s="205"/>
      <c r="AE99" s="205"/>
      <c r="AF99" s="205"/>
      <c r="AG99" s="205"/>
      <c r="AH99" s="205"/>
      <c r="AI99" s="205"/>
      <c r="AJ99" s="205"/>
      <c r="AK99" s="205"/>
      <c r="AL99" s="205"/>
      <c r="AM99" s="205"/>
      <c r="AN99" s="205"/>
      <c r="AO99" s="205"/>
      <c r="AP99" s="205"/>
      <c r="AQ99" s="205"/>
      <c r="AR99" s="205"/>
      <c r="AS99" s="205"/>
      <c r="AT99" s="205"/>
      <c r="AU99" s="205"/>
      <c r="AV99" s="205"/>
      <c r="AW99" s="205"/>
      <c r="AX99" s="205"/>
      <c r="AY99" s="205"/>
      <c r="AZ99" s="205"/>
      <c r="BA99" s="205"/>
      <c r="BB99" s="205"/>
      <c r="BC99" s="205"/>
      <c r="BD99" s="205"/>
      <c r="BE99" s="205"/>
      <c r="BF99" s="205"/>
      <c r="BG99" s="205"/>
      <c r="BH99" s="266"/>
      <c r="BI99" s="267"/>
      <c r="BJ99" s="267"/>
    </row>
    <row r="100" s="1" customFormat="1" spans="2:62">
      <c r="B100" s="33" t="s">
        <v>482</v>
      </c>
      <c r="C100" s="33">
        <v>4</v>
      </c>
      <c r="D100" s="181"/>
      <c r="E100" s="33"/>
      <c r="F100" s="33"/>
      <c r="G100" s="33"/>
      <c r="H100" s="33"/>
      <c r="I100" s="33"/>
      <c r="J100" s="33"/>
      <c r="K100" s="205"/>
      <c r="L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  <c r="AC100" s="205"/>
      <c r="AD100" s="205"/>
      <c r="AE100" s="205"/>
      <c r="AF100" s="205"/>
      <c r="AG100" s="205"/>
      <c r="AH100" s="205"/>
      <c r="AI100" s="205"/>
      <c r="AJ100" s="205"/>
      <c r="AK100" s="205"/>
      <c r="AL100" s="205"/>
      <c r="AM100" s="205"/>
      <c r="AN100" s="205"/>
      <c r="AO100" s="205"/>
      <c r="AP100" s="205"/>
      <c r="AQ100" s="205"/>
      <c r="AR100" s="205"/>
      <c r="AS100" s="205"/>
      <c r="AT100" s="205"/>
      <c r="AU100" s="205"/>
      <c r="AV100" s="205"/>
      <c r="AW100" s="205"/>
      <c r="AX100" s="205"/>
      <c r="AY100" s="205"/>
      <c r="AZ100" s="205"/>
      <c r="BA100" s="205"/>
      <c r="BB100" s="205"/>
      <c r="BC100" s="205"/>
      <c r="BD100" s="205"/>
      <c r="BE100" s="205"/>
      <c r="BF100" s="205"/>
      <c r="BG100" s="205"/>
      <c r="BH100" s="266"/>
      <c r="BI100" s="267"/>
      <c r="BJ100" s="267"/>
    </row>
    <row r="101" s="1" customFormat="1" spans="2:62">
      <c r="B101" s="33" t="s">
        <v>483</v>
      </c>
      <c r="C101" s="33">
        <v>6</v>
      </c>
      <c r="D101" s="181"/>
      <c r="E101" s="33"/>
      <c r="F101" s="33"/>
      <c r="G101" s="33"/>
      <c r="H101" s="33"/>
      <c r="I101" s="33"/>
      <c r="J101" s="33"/>
      <c r="K101" s="205"/>
      <c r="L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  <c r="AC101" s="205"/>
      <c r="AD101" s="205"/>
      <c r="AE101" s="205"/>
      <c r="AF101" s="205"/>
      <c r="AG101" s="205"/>
      <c r="AH101" s="205"/>
      <c r="AI101" s="205"/>
      <c r="AJ101" s="205"/>
      <c r="AK101" s="205"/>
      <c r="AL101" s="205"/>
      <c r="AM101" s="205"/>
      <c r="AN101" s="205"/>
      <c r="AO101" s="205"/>
      <c r="AP101" s="205"/>
      <c r="AQ101" s="205"/>
      <c r="AR101" s="205"/>
      <c r="AS101" s="205"/>
      <c r="AT101" s="205"/>
      <c r="AU101" s="205"/>
      <c r="AV101" s="205"/>
      <c r="AW101" s="205"/>
      <c r="AX101" s="205"/>
      <c r="AY101" s="205"/>
      <c r="AZ101" s="205"/>
      <c r="BA101" s="205"/>
      <c r="BB101" s="205"/>
      <c r="BC101" s="205"/>
      <c r="BD101" s="205"/>
      <c r="BE101" s="205"/>
      <c r="BF101" s="205"/>
      <c r="BG101" s="205"/>
      <c r="BH101" s="266"/>
      <c r="BI101" s="267"/>
      <c r="BJ101" s="267"/>
    </row>
    <row r="102" s="1" customFormat="1" spans="2:62">
      <c r="B102" s="33" t="s">
        <v>484</v>
      </c>
      <c r="C102" s="33">
        <v>0</v>
      </c>
      <c r="D102" s="33"/>
      <c r="E102" s="33"/>
      <c r="F102" s="33"/>
      <c r="G102" s="33"/>
      <c r="H102" s="33"/>
      <c r="I102" s="33"/>
      <c r="J102" s="33"/>
      <c r="K102" s="205"/>
      <c r="L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205"/>
      <c r="AG102" s="205"/>
      <c r="AH102" s="205"/>
      <c r="AI102" s="205"/>
      <c r="AJ102" s="205"/>
      <c r="AK102" s="205"/>
      <c r="AL102" s="205"/>
      <c r="AM102" s="205"/>
      <c r="AN102" s="205"/>
      <c r="AO102" s="205"/>
      <c r="AP102" s="205"/>
      <c r="AQ102" s="205"/>
      <c r="AR102" s="205"/>
      <c r="AS102" s="205"/>
      <c r="AT102" s="205"/>
      <c r="AU102" s="205"/>
      <c r="AV102" s="205"/>
      <c r="AW102" s="205"/>
      <c r="AX102" s="205"/>
      <c r="AY102" s="205"/>
      <c r="AZ102" s="205"/>
      <c r="BA102" s="205"/>
      <c r="BB102" s="205"/>
      <c r="BC102" s="205"/>
      <c r="BD102" s="205"/>
      <c r="BE102" s="205"/>
      <c r="BF102" s="205"/>
      <c r="BG102" s="205"/>
      <c r="BH102" s="266"/>
      <c r="BI102" s="267"/>
      <c r="BJ102" s="267"/>
    </row>
    <row r="103" s="1" customFormat="1" spans="2:62">
      <c r="B103" s="33" t="s">
        <v>485</v>
      </c>
      <c r="C103" s="33">
        <v>0</v>
      </c>
      <c r="D103" s="181"/>
      <c r="E103" s="33"/>
      <c r="F103" s="33"/>
      <c r="G103" s="33"/>
      <c r="H103" s="33"/>
      <c r="I103" s="33"/>
      <c r="J103" s="33"/>
      <c r="K103" s="205"/>
      <c r="L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205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  <c r="AM103" s="205"/>
      <c r="AN103" s="205"/>
      <c r="AO103" s="205"/>
      <c r="AP103" s="205"/>
      <c r="AQ103" s="205"/>
      <c r="AR103" s="205"/>
      <c r="AS103" s="205"/>
      <c r="AT103" s="205"/>
      <c r="AU103" s="205"/>
      <c r="AV103" s="205"/>
      <c r="AW103" s="205"/>
      <c r="AX103" s="205"/>
      <c r="AY103" s="205"/>
      <c r="AZ103" s="205"/>
      <c r="BA103" s="205"/>
      <c r="BB103" s="205"/>
      <c r="BC103" s="205"/>
      <c r="BD103" s="205"/>
      <c r="BE103" s="205"/>
      <c r="BF103" s="205"/>
      <c r="BG103" s="205"/>
      <c r="BH103" s="266"/>
      <c r="BI103" s="267"/>
      <c r="BJ103" s="267"/>
    </row>
    <row r="104" s="1" customFormat="1" spans="2:62">
      <c r="B104" s="33"/>
      <c r="C104" s="33"/>
      <c r="D104" s="33"/>
      <c r="E104" s="33"/>
      <c r="F104" s="33"/>
      <c r="G104" s="33"/>
      <c r="H104" s="33"/>
      <c r="I104" s="33"/>
      <c r="J104" s="33"/>
      <c r="K104" s="205"/>
      <c r="L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205"/>
      <c r="AC104" s="205"/>
      <c r="AD104" s="205"/>
      <c r="AE104" s="205"/>
      <c r="AF104" s="205"/>
      <c r="AG104" s="205"/>
      <c r="AH104" s="205"/>
      <c r="AI104" s="205"/>
      <c r="AJ104" s="205"/>
      <c r="AK104" s="205"/>
      <c r="AL104" s="205"/>
      <c r="AM104" s="205"/>
      <c r="AN104" s="205"/>
      <c r="AO104" s="205"/>
      <c r="AP104" s="205"/>
      <c r="AQ104" s="205"/>
      <c r="AR104" s="205"/>
      <c r="AS104" s="205"/>
      <c r="AT104" s="205"/>
      <c r="AU104" s="205"/>
      <c r="AV104" s="205"/>
      <c r="AW104" s="205"/>
      <c r="AX104" s="205"/>
      <c r="AY104" s="205"/>
      <c r="AZ104" s="205"/>
      <c r="BA104" s="205"/>
      <c r="BB104" s="205"/>
      <c r="BC104" s="205"/>
      <c r="BD104" s="205"/>
      <c r="BE104" s="205"/>
      <c r="BF104" s="205"/>
      <c r="BG104" s="205"/>
      <c r="BH104" s="266"/>
      <c r="BI104" s="267"/>
      <c r="BJ104" s="267"/>
    </row>
    <row r="105" s="1" customFormat="1" spans="2:62">
      <c r="B105" s="1" t="s">
        <v>486</v>
      </c>
      <c r="C105" s="33">
        <f>C98-C99-C100+C101+C102-C103</f>
        <v>78</v>
      </c>
      <c r="D105" s="205"/>
      <c r="E105" s="33"/>
      <c r="F105" s="33"/>
      <c r="G105" s="33"/>
      <c r="H105" s="205"/>
      <c r="I105" s="205"/>
      <c r="J105" s="205"/>
      <c r="K105" s="205"/>
      <c r="L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5"/>
      <c r="AG105" s="205"/>
      <c r="AH105" s="205"/>
      <c r="AI105" s="205"/>
      <c r="AJ105" s="205"/>
      <c r="AK105" s="205"/>
      <c r="AL105" s="205"/>
      <c r="AM105" s="205"/>
      <c r="AN105" s="205"/>
      <c r="AO105" s="205"/>
      <c r="AP105" s="205"/>
      <c r="AQ105" s="205"/>
      <c r="AR105" s="205"/>
      <c r="AS105" s="205"/>
      <c r="AT105" s="205"/>
      <c r="AU105" s="205"/>
      <c r="AV105" s="205"/>
      <c r="AW105" s="205"/>
      <c r="AX105" s="205"/>
      <c r="AY105" s="205"/>
      <c r="AZ105" s="205"/>
      <c r="BA105" s="205"/>
      <c r="BB105" s="205"/>
      <c r="BC105" s="205"/>
      <c r="BD105" s="205"/>
      <c r="BE105" s="205"/>
      <c r="BF105" s="205"/>
      <c r="BG105" s="205"/>
      <c r="BH105" s="266"/>
      <c r="BI105" s="267"/>
      <c r="BJ105" s="267"/>
    </row>
    <row r="106" s="1" customFormat="1" spans="2:62">
      <c r="B106" s="33"/>
      <c r="C106" s="33"/>
      <c r="D106" s="205"/>
      <c r="E106" s="205"/>
      <c r="F106" s="205"/>
      <c r="G106" s="205"/>
      <c r="H106" s="205"/>
      <c r="I106" s="205"/>
      <c r="J106" s="205"/>
      <c r="K106" s="205"/>
      <c r="L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  <c r="AC106" s="205"/>
      <c r="AD106" s="205"/>
      <c r="AE106" s="205"/>
      <c r="AF106" s="205"/>
      <c r="AG106" s="205"/>
      <c r="AH106" s="205"/>
      <c r="AI106" s="205"/>
      <c r="AJ106" s="205"/>
      <c r="AK106" s="205"/>
      <c r="AL106" s="205"/>
      <c r="AM106" s="205"/>
      <c r="AN106" s="205"/>
      <c r="AO106" s="205"/>
      <c r="AP106" s="205"/>
      <c r="AQ106" s="205"/>
      <c r="AR106" s="205"/>
      <c r="AS106" s="205"/>
      <c r="AT106" s="205"/>
      <c r="AU106" s="205"/>
      <c r="AV106" s="205"/>
      <c r="AW106" s="205"/>
      <c r="AX106" s="205"/>
      <c r="AY106" s="205"/>
      <c r="AZ106" s="205"/>
      <c r="BA106" s="205"/>
      <c r="BB106" s="205"/>
      <c r="BC106" s="205"/>
      <c r="BD106" s="205"/>
      <c r="BE106" s="205"/>
      <c r="BF106" s="205"/>
      <c r="BG106" s="205"/>
      <c r="BH106" s="266"/>
      <c r="BI106" s="267"/>
      <c r="BJ106" s="267"/>
    </row>
    <row r="107" s="1" customFormat="1" spans="2:62">
      <c r="B107" s="33"/>
      <c r="C107" s="268">
        <f>C98+C101-C100-C105</f>
        <v>0</v>
      </c>
      <c r="D107" s="205"/>
      <c r="E107" s="205"/>
      <c r="F107" s="205"/>
      <c r="G107" s="205"/>
      <c r="H107" s="205"/>
      <c r="I107" s="205"/>
      <c r="J107" s="205"/>
      <c r="K107" s="205"/>
      <c r="L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205"/>
      <c r="AC107" s="205"/>
      <c r="AD107" s="205"/>
      <c r="AE107" s="205"/>
      <c r="AF107" s="205"/>
      <c r="AG107" s="205"/>
      <c r="AH107" s="205"/>
      <c r="AI107" s="205"/>
      <c r="AJ107" s="205"/>
      <c r="AK107" s="205"/>
      <c r="AL107" s="205"/>
      <c r="AM107" s="205"/>
      <c r="AN107" s="205"/>
      <c r="AO107" s="205"/>
      <c r="AP107" s="205"/>
      <c r="AQ107" s="205"/>
      <c r="AR107" s="205"/>
      <c r="AS107" s="205"/>
      <c r="AT107" s="205"/>
      <c r="AU107" s="205"/>
      <c r="AV107" s="205"/>
      <c r="AW107" s="205"/>
      <c r="AX107" s="205"/>
      <c r="AY107" s="205"/>
      <c r="AZ107" s="205"/>
      <c r="BA107" s="205"/>
      <c r="BB107" s="205"/>
      <c r="BC107" s="205"/>
      <c r="BD107" s="205"/>
      <c r="BE107" s="205"/>
      <c r="BF107" s="205"/>
      <c r="BG107" s="205"/>
      <c r="BH107" s="266"/>
      <c r="BI107" s="267"/>
      <c r="BJ107" s="267"/>
    </row>
  </sheetData>
  <autoFilter xmlns:etc="http://www.wps.cn/officeDocument/2017/etCustomData" ref="A2:BN80" etc:filterBottomFollowUsedRange="0">
    <extLst/>
  </autoFilter>
  <mergeCells count="1">
    <mergeCell ref="A1:BF1"/>
  </mergeCells>
  <conditionalFormatting sqref="C5">
    <cfRule type="duplicateValues" dxfId="0" priority="1632"/>
  </conditionalFormatting>
  <conditionalFormatting sqref="C18">
    <cfRule type="duplicateValues" dxfId="0" priority="50"/>
  </conditionalFormatting>
  <conditionalFormatting sqref="C19">
    <cfRule type="duplicateValues" dxfId="0" priority="49"/>
  </conditionalFormatting>
  <conditionalFormatting sqref="C20">
    <cfRule type="duplicateValues" dxfId="0" priority="48"/>
  </conditionalFormatting>
  <conditionalFormatting sqref="C21">
    <cfRule type="duplicateValues" dxfId="0" priority="46"/>
  </conditionalFormatting>
  <conditionalFormatting sqref="C22">
    <cfRule type="duplicateValues" dxfId="0" priority="45"/>
  </conditionalFormatting>
  <conditionalFormatting sqref="C23">
    <cfRule type="duplicateValues" dxfId="0" priority="44"/>
  </conditionalFormatting>
  <conditionalFormatting sqref="C24">
    <cfRule type="duplicateValues" dxfId="0" priority="43"/>
  </conditionalFormatting>
  <conditionalFormatting sqref="C25">
    <cfRule type="duplicateValues" dxfId="0" priority="42"/>
  </conditionalFormatting>
  <conditionalFormatting sqref="C26">
    <cfRule type="duplicateValues" dxfId="0" priority="41"/>
  </conditionalFormatting>
  <conditionalFormatting sqref="C27">
    <cfRule type="duplicateValues" dxfId="0" priority="40"/>
  </conditionalFormatting>
  <conditionalFormatting sqref="C44">
    <cfRule type="duplicateValues" dxfId="0" priority="27"/>
  </conditionalFormatting>
  <conditionalFormatting sqref="C45">
    <cfRule type="duplicateValues" dxfId="0" priority="25"/>
  </conditionalFormatting>
  <conditionalFormatting sqref="D46">
    <cfRule type="duplicateValues" dxfId="0" priority="23"/>
  </conditionalFormatting>
  <conditionalFormatting sqref="D47">
    <cfRule type="duplicateValues" dxfId="0" priority="22"/>
  </conditionalFormatting>
  <conditionalFormatting sqref="D48">
    <cfRule type="duplicateValues" dxfId="0" priority="21"/>
  </conditionalFormatting>
  <conditionalFormatting sqref="D49">
    <cfRule type="duplicateValues" dxfId="0" priority="7"/>
  </conditionalFormatting>
  <conditionalFormatting sqref="D50">
    <cfRule type="duplicateValues" dxfId="0" priority="6"/>
  </conditionalFormatting>
  <conditionalFormatting sqref="D51">
    <cfRule type="duplicateValues" dxfId="0" priority="5"/>
  </conditionalFormatting>
  <conditionalFormatting sqref="D52">
    <cfRule type="duplicateValues" dxfId="0" priority="3"/>
  </conditionalFormatting>
  <conditionalFormatting sqref="D53">
    <cfRule type="duplicateValues" dxfId="0" priority="2"/>
  </conditionalFormatting>
  <conditionalFormatting sqref="C82">
    <cfRule type="duplicateValues" dxfId="0" priority="20"/>
  </conditionalFormatting>
  <conditionalFormatting sqref="C28:C33">
    <cfRule type="duplicateValues" dxfId="0" priority="52"/>
  </conditionalFormatting>
  <conditionalFormatting sqref="C34:C37">
    <cfRule type="duplicateValues" dxfId="0" priority="38"/>
  </conditionalFormatting>
  <conditionalFormatting sqref="C38:C40">
    <cfRule type="duplicateValues" dxfId="0" priority="37"/>
  </conditionalFormatting>
  <conditionalFormatting sqref="C41:C43">
    <cfRule type="duplicateValues" dxfId="0" priority="35"/>
  </conditionalFormatting>
  <conditionalFormatting sqref="C2:C4 C6:C17">
    <cfRule type="duplicateValues" dxfId="0" priority="3333"/>
  </conditionalFormatting>
  <pageMargins left="0.0784722222222222" right="0.0784722222222222" top="0.984027777777778" bottom="0.196527777777778" header="0.314583333333333" footer="0.314583333333333"/>
  <pageSetup paperSize="9" scale="23" fitToHeight="6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3">
    <tabColor rgb="FF92D050"/>
    <pageSetUpPr fitToPage="1"/>
  </sheetPr>
  <dimension ref="A1:T22"/>
  <sheetViews>
    <sheetView showGridLines="0" workbookViewId="0">
      <pane xSplit="4" ySplit="2" topLeftCell="E3" activePane="bottomRight" state="frozen"/>
      <selection/>
      <selection pane="topRight"/>
      <selection pane="bottomLeft"/>
      <selection pane="bottomRight" activeCell="J31" sqref="J31"/>
    </sheetView>
  </sheetViews>
  <sheetFormatPr defaultColWidth="9.14285714285714" defaultRowHeight="12.75"/>
  <cols>
    <col min="1" max="1" width="7.28571428571429" style="182" customWidth="1"/>
    <col min="2" max="2" width="15" customWidth="1"/>
    <col min="3" max="3" width="17.8571428571429" customWidth="1"/>
    <col min="4" max="4" width="17.4285714285714" customWidth="1"/>
    <col min="5" max="5" width="15.7142857142857" style="182" customWidth="1"/>
    <col min="6" max="6" width="21.8571428571429" customWidth="1"/>
    <col min="7" max="7" width="16.5714285714286" customWidth="1"/>
    <col min="8" max="8" width="13.7142857142857" customWidth="1"/>
    <col min="9" max="9" width="16.2857142857143" customWidth="1"/>
    <col min="10" max="10" width="16.1428571428571" customWidth="1"/>
    <col min="11" max="11" width="27.1428571428571" customWidth="1"/>
    <col min="12" max="12" width="12.2857142857143" hidden="1" customWidth="1"/>
    <col min="13" max="13" width="15.5714285714286" hidden="1" customWidth="1"/>
    <col min="14" max="14" width="14.7142857142857" style="186"/>
    <col min="15" max="16" width="9.14285714285714" style="186"/>
  </cols>
  <sheetData>
    <row r="1" ht="38.25" customHeight="1" spans="1:20">
      <c r="A1" s="187" t="s">
        <v>487</v>
      </c>
      <c r="B1" s="188"/>
      <c r="C1" s="188"/>
      <c r="D1" s="188"/>
      <c r="E1" s="188"/>
      <c r="F1" s="188"/>
      <c r="G1" s="188"/>
      <c r="H1" s="188"/>
      <c r="I1" s="188"/>
      <c r="J1" s="188"/>
      <c r="K1" s="189"/>
    </row>
    <row r="2" ht="27.75" customHeight="1" spans="1:20">
      <c r="A2" s="190" t="s">
        <v>70</v>
      </c>
      <c r="B2" s="191" t="s">
        <v>72</v>
      </c>
      <c r="C2" s="191" t="s">
        <v>73</v>
      </c>
      <c r="D2" s="191" t="s">
        <v>488</v>
      </c>
      <c r="E2" s="190" t="s">
        <v>489</v>
      </c>
      <c r="F2" s="191" t="s">
        <v>80</v>
      </c>
      <c r="G2" s="191" t="s">
        <v>490</v>
      </c>
      <c r="H2" s="191" t="s">
        <v>30</v>
      </c>
      <c r="I2" s="191" t="s">
        <v>10</v>
      </c>
      <c r="J2" s="191" t="s">
        <v>491</v>
      </c>
      <c r="K2" s="191" t="s">
        <v>100</v>
      </c>
      <c r="L2" s="192" t="s">
        <v>89</v>
      </c>
      <c r="M2" s="192" t="s">
        <v>492</v>
      </c>
    </row>
    <row r="3" ht="24" customHeight="1" spans="1:20">
      <c r="A3" s="190">
        <v>1</v>
      </c>
      <c r="B3" s="191"/>
      <c r="C3" s="191"/>
      <c r="D3" s="191">
        <f>VLOOKUP($B3,工资表明细!$C$2:$O$146,4,0)</f>
        <v>0</v>
      </c>
      <c r="E3" s="190">
        <f>VLOOKUP($B3,工资表明细!$C$2:$O$146,11,0)</f>
        <v>0</v>
      </c>
      <c r="F3" s="191">
        <f>VLOOKUP($B3,工资表明细!$C$2:$O$146,13,0)</f>
        <v>0</v>
      </c>
      <c r="G3" s="193"/>
      <c r="H3" s="194">
        <f>ROUND(MAX((M3)*0.01*{3,10,20,25,30,35,45}-{0,2520,16920,31920,52920,85920,181920},0),2)</f>
        <v>0</v>
      </c>
      <c r="I3" s="194">
        <v>0</v>
      </c>
      <c r="J3" s="9">
        <f>G3-H3-I3</f>
        <v>0</v>
      </c>
      <c r="K3" s="191"/>
      <c r="L3" s="192">
        <v>494262</v>
      </c>
      <c r="M3" s="192">
        <f>IF(G3-L3&gt;0,G3-L3,0)</f>
        <v>0</v>
      </c>
      <c r="N3" s="195"/>
    </row>
    <row r="4" ht="28.5" customHeight="1" spans="1:20">
      <c r="A4" s="190" t="s">
        <v>48</v>
      </c>
      <c r="B4" s="191"/>
      <c r="C4" s="191"/>
      <c r="D4" s="191"/>
      <c r="E4" s="190"/>
      <c r="F4" s="191"/>
      <c r="G4" s="9">
        <f>SUM(G3:G3)</f>
        <v>0</v>
      </c>
      <c r="H4" s="9">
        <f>SUM(H3:H3)</f>
        <v>0</v>
      </c>
      <c r="I4" s="9">
        <f>SUM(I3:I3)</f>
        <v>0</v>
      </c>
      <c r="J4" s="9">
        <f>SUM(J3:J3)</f>
        <v>0</v>
      </c>
      <c r="K4" s="191"/>
      <c r="L4" s="192"/>
      <c r="M4" s="192"/>
    </row>
    <row r="7" spans="1:20">
      <c r="K7" s="186"/>
    </row>
    <row r="8" spans="1:20">
      <c r="K8" s="186"/>
    </row>
    <row r="9" ht="14.1" customHeight="1" spans="1:20">
      <c r="K9" s="186"/>
    </row>
    <row r="10" s="184" customFormat="1" ht="17.25" customHeight="1" spans="1:20">
      <c r="A10" s="196" t="s">
        <v>493</v>
      </c>
      <c r="B10" s="197"/>
      <c r="C10" s="197" t="s">
        <v>494</v>
      </c>
      <c r="D10" s="197"/>
      <c r="E10" s="196" t="s">
        <v>495</v>
      </c>
      <c r="F10" s="197"/>
      <c r="G10" s="197" t="s">
        <v>496</v>
      </c>
      <c r="I10" s="197" t="s">
        <v>497</v>
      </c>
      <c r="K10" s="198" t="s">
        <v>498</v>
      </c>
      <c r="M10" s="199"/>
      <c r="N10" s="200"/>
      <c r="O10" s="200"/>
      <c r="P10" s="199"/>
      <c r="T10" s="199"/>
    </row>
    <row r="12" s="185" customFormat="1" spans="1:20">
      <c r="A12" s="182"/>
      <c r="E12" s="182"/>
      <c r="N12" s="186"/>
      <c r="O12" s="186"/>
      <c r="P12" s="186"/>
    </row>
    <row r="13" s="185" customFormat="1" spans="1:20">
      <c r="A13" s="182"/>
      <c r="E13" s="182"/>
      <c r="N13" s="186"/>
      <c r="O13" s="186"/>
      <c r="P13" s="186"/>
    </row>
    <row r="14" s="185" customFormat="1" spans="1:20">
      <c r="A14" s="182"/>
      <c r="E14" s="182"/>
      <c r="N14" s="186"/>
      <c r="O14" s="186"/>
      <c r="P14" s="186"/>
    </row>
    <row r="15" s="185" customFormat="1" spans="1:20">
      <c r="A15" s="182"/>
      <c r="E15" s="182"/>
      <c r="N15" s="186"/>
      <c r="O15" s="186"/>
      <c r="P15" s="186"/>
    </row>
    <row r="16" s="185" customFormat="1" spans="1:20">
      <c r="A16" s="182"/>
      <c r="E16" s="182"/>
      <c r="N16" s="186"/>
      <c r="O16" s="186"/>
      <c r="P16" s="186"/>
    </row>
    <row r="17" s="185" customFormat="1" spans="1:16">
      <c r="A17" s="182"/>
      <c r="E17" s="182"/>
      <c r="N17" s="186"/>
      <c r="O17" s="186"/>
      <c r="P17" s="186"/>
    </row>
    <row r="18" s="185" customFormat="1" spans="1:16">
      <c r="A18" s="182"/>
      <c r="E18" s="182"/>
      <c r="N18" s="186"/>
      <c r="O18" s="186"/>
      <c r="P18" s="186"/>
    </row>
    <row r="19" s="185" customFormat="1" spans="1:16">
      <c r="A19" s="182"/>
      <c r="E19" s="182"/>
      <c r="N19" s="186"/>
      <c r="O19" s="186"/>
      <c r="P19" s="186"/>
    </row>
    <row r="20" s="185" customFormat="1" spans="1:16">
      <c r="A20" s="182"/>
      <c r="E20" s="182"/>
      <c r="N20" s="186"/>
      <c r="O20" s="186"/>
      <c r="P20" s="186"/>
    </row>
    <row r="21" s="185" customFormat="1" spans="1:16">
      <c r="A21" s="182"/>
      <c r="E21" s="182"/>
      <c r="N21" s="186"/>
      <c r="O21" s="186"/>
      <c r="P21" s="186"/>
    </row>
    <row r="22" s="185" customFormat="1" spans="1:16">
      <c r="A22" s="182"/>
      <c r="E22" s="182"/>
      <c r="N22" s="186"/>
      <c r="O22" s="186"/>
      <c r="P22" s="186"/>
    </row>
  </sheetData>
  <mergeCells count="1">
    <mergeCell ref="A1:K1"/>
  </mergeCells>
  <pageMargins left="0.275" right="0.15625" top="0.747916666666667" bottom="0.747916666666667" header="0.313888888888889" footer="0.313888888888889"/>
  <pageSetup paperSize="9" scale="80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7">
    <tabColor rgb="FF92D050"/>
  </sheetPr>
  <dimension ref="A1:AR35"/>
  <sheetViews>
    <sheetView showGridLines="0" zoomScale="90" zoomScaleNormal="90" workbookViewId="0">
      <pane xSplit="11" ySplit="3" topLeftCell="L4" activePane="bottomRight" state="frozen"/>
      <selection/>
      <selection pane="topRight"/>
      <selection pane="bottomLeft"/>
      <selection pane="bottomRight" activeCell="X19" sqref="X19"/>
    </sheetView>
  </sheetViews>
  <sheetFormatPr defaultColWidth="9" defaultRowHeight="15.95" customHeight="1"/>
  <cols>
    <col min="1" max="1" width="4.14285714285714" style="1" customWidth="1"/>
    <col min="2" max="2" width="11.4285714285714" style="6" customWidth="1"/>
    <col min="3" max="3" width="11.8571428571429" style="6" customWidth="1"/>
    <col min="4" max="4" width="10.2857142857143" style="6" customWidth="1"/>
    <col min="5" max="5" width="13.2857142857143" style="6" customWidth="1"/>
    <col min="6" max="6" width="11" style="6" customWidth="1"/>
    <col min="7" max="7" width="12.2857142857143" style="6" customWidth="1"/>
    <col min="8" max="8" width="6.14285714285714" style="5" customWidth="1"/>
    <col min="9" max="9" width="6.14285714285714" style="6" customWidth="1"/>
    <col min="10" max="10" width="6.14285714285714" style="5" customWidth="1"/>
    <col min="11" max="11" width="6.14285714285714" style="6" customWidth="1"/>
    <col min="12" max="12" width="9.42857142857143" style="6" customWidth="1"/>
    <col min="13" max="13" width="10" style="6" customWidth="1"/>
    <col min="14" max="14" width="13" style="6" customWidth="1"/>
    <col min="15" max="15" width="10.2857142857143" style="6" customWidth="1"/>
    <col min="16" max="16" width="13.5714285714286" style="6" customWidth="1"/>
    <col min="17" max="17" width="10" style="6" customWidth="1"/>
    <col min="18" max="18" width="9" style="6" customWidth="1"/>
    <col min="19" max="19" width="10.7142857142857" style="6" customWidth="1"/>
    <col min="20" max="20" width="9.71428571428571" style="6" customWidth="1"/>
    <col min="21" max="22" width="10.8571428571429" style="6" customWidth="1"/>
    <col min="23" max="23" width="13.8571428571429" style="6" customWidth="1"/>
    <col min="24" max="24" width="11.4285714285714" style="6" customWidth="1" outlineLevel="1"/>
    <col min="25" max="25" width="11.8571428571429" style="3" customWidth="1" outlineLevel="1"/>
    <col min="26" max="26" width="7.85714285714286" style="3" customWidth="1" outlineLevel="1"/>
    <col min="27" max="27" width="13.1428571428571" style="148" customWidth="1" outlineLevel="1"/>
    <col min="28" max="28" width="23.8571428571429" style="6" customWidth="1" outlineLevel="1"/>
    <col min="29" max="29" width="21.1428571428571" style="6" customWidth="1" outlineLevel="1"/>
    <col min="30" max="30" width="14.7142857142857" style="6" customWidth="1" outlineLevel="1"/>
    <col min="31" max="31" width="7.71428571428571" style="34" customWidth="1" outlineLevel="1"/>
    <col min="32" max="32" width="6.57142857142857" style="6" customWidth="1" outlineLevel="1"/>
    <col min="33" max="33" width="8.57142857142857" style="1" customWidth="1" outlineLevel="1"/>
    <col min="34" max="34" width="10.1428571428571" style="148" customWidth="1" outlineLevel="1"/>
    <col min="35" max="35" width="14.1428571428571" style="148" customWidth="1" outlineLevel="1"/>
    <col min="36" max="36" width="11.5714285714286" style="148" customWidth="1" outlineLevel="1"/>
    <col min="37" max="37" width="11.7142857142857" style="148" customWidth="1" outlineLevel="1"/>
    <col min="38" max="38" width="11.5714285714286" style="148" customWidth="1" outlineLevel="1"/>
    <col min="39" max="39" width="9" style="3" outlineLevel="1"/>
    <col min="40" max="40" width="11.5714285714286" style="148" customWidth="1" outlineLevel="1"/>
    <col min="41" max="41" width="9" style="3" outlineLevel="1"/>
    <col min="42" max="44" width="10.7142857142857" style="1" customWidth="1"/>
    <col min="45" max="16384" width="9" style="6"/>
  </cols>
  <sheetData>
    <row r="1" s="1" customFormat="1" ht="33" spans="1:44">
      <c r="A1" s="149"/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50">
        <v>1</v>
      </c>
      <c r="U1" s="150">
        <v>1</v>
      </c>
      <c r="V1" s="150"/>
      <c r="W1" s="151"/>
      <c r="X1" s="151"/>
      <c r="Y1" s="152" t="s">
        <v>499</v>
      </c>
      <c r="Z1" s="48">
        <v>1</v>
      </c>
      <c r="AA1" s="153" t="s">
        <v>500</v>
      </c>
      <c r="AB1" s="26"/>
      <c r="AC1" s="26"/>
      <c r="AD1" s="101"/>
      <c r="AE1" s="101"/>
      <c r="AF1" s="101"/>
      <c r="AG1" s="101"/>
      <c r="AH1" s="30"/>
      <c r="AI1" s="30"/>
      <c r="AJ1" s="30"/>
      <c r="AK1" s="30"/>
      <c r="AL1" s="30"/>
      <c r="AM1" s="58"/>
      <c r="AN1" s="30"/>
      <c r="AO1" s="58"/>
    </row>
    <row r="2" s="1" customFormat="1" ht="20.1" customHeight="1" spans="1:44">
      <c r="A2" s="154" t="s">
        <v>70</v>
      </c>
      <c r="B2" s="155" t="s">
        <v>501</v>
      </c>
      <c r="C2" s="154" t="s">
        <v>72</v>
      </c>
      <c r="D2" s="154" t="s">
        <v>73</v>
      </c>
      <c r="E2" s="154" t="s">
        <v>75</v>
      </c>
      <c r="F2" s="154" t="s">
        <v>62</v>
      </c>
      <c r="G2" s="154" t="s">
        <v>502</v>
      </c>
      <c r="H2" s="154" t="s">
        <v>503</v>
      </c>
      <c r="I2" s="154"/>
      <c r="J2" s="154"/>
      <c r="K2" s="154"/>
      <c r="L2" s="156" t="s">
        <v>504</v>
      </c>
      <c r="M2" s="156"/>
      <c r="N2" s="156"/>
      <c r="O2" s="156"/>
      <c r="P2" s="156"/>
      <c r="Q2" s="156"/>
      <c r="R2" s="154"/>
      <c r="S2" s="154"/>
      <c r="T2" s="157" t="s">
        <v>505</v>
      </c>
      <c r="U2" s="157" t="s">
        <v>506</v>
      </c>
      <c r="V2" s="157" t="s">
        <v>507</v>
      </c>
      <c r="W2" s="154" t="s">
        <v>508</v>
      </c>
      <c r="X2" s="158" t="s">
        <v>100</v>
      </c>
      <c r="Y2" s="159" t="s">
        <v>509</v>
      </c>
      <c r="Z2" s="160" t="s">
        <v>510</v>
      </c>
      <c r="AA2" s="161" t="s">
        <v>511</v>
      </c>
      <c r="AB2" s="162" t="s">
        <v>79</v>
      </c>
      <c r="AC2" s="163" t="s">
        <v>512</v>
      </c>
      <c r="AD2" s="164" t="s">
        <v>513</v>
      </c>
      <c r="AE2" s="165"/>
      <c r="AF2" s="165" t="s">
        <v>514</v>
      </c>
      <c r="AG2" s="166" t="s">
        <v>50</v>
      </c>
      <c r="AH2" s="30"/>
      <c r="AI2" s="30"/>
      <c r="AJ2" s="30"/>
      <c r="AK2" s="30"/>
      <c r="AL2" s="30"/>
      <c r="AM2" s="58"/>
      <c r="AN2" s="30"/>
      <c r="AO2" s="58"/>
    </row>
    <row r="3" s="135" customFormat="1" ht="33" spans="1:44">
      <c r="A3" s="154"/>
      <c r="B3" s="155"/>
      <c r="C3" s="154"/>
      <c r="D3" s="154"/>
      <c r="E3" s="154"/>
      <c r="F3" s="154"/>
      <c r="G3" s="154"/>
      <c r="H3" s="154" t="s">
        <v>515</v>
      </c>
      <c r="I3" s="154" t="s">
        <v>516</v>
      </c>
      <c r="J3" s="154" t="s">
        <v>517</v>
      </c>
      <c r="K3" s="154" t="s">
        <v>518</v>
      </c>
      <c r="L3" s="156" t="s">
        <v>519</v>
      </c>
      <c r="M3" s="156" t="s">
        <v>520</v>
      </c>
      <c r="N3" s="156" t="s">
        <v>521</v>
      </c>
      <c r="O3" s="156" t="s">
        <v>522</v>
      </c>
      <c r="P3" s="156" t="s">
        <v>523</v>
      </c>
      <c r="Q3" s="156" t="s">
        <v>524</v>
      </c>
      <c r="R3" s="154" t="s">
        <v>525</v>
      </c>
      <c r="S3" s="154" t="s">
        <v>526</v>
      </c>
      <c r="T3" s="157"/>
      <c r="U3" s="157"/>
      <c r="V3" s="157"/>
      <c r="W3" s="154"/>
      <c r="X3" s="158"/>
      <c r="Y3" s="159"/>
      <c r="Z3" s="160"/>
      <c r="AA3" s="161"/>
      <c r="AB3" s="162"/>
      <c r="AC3" s="163"/>
      <c r="AD3" s="167"/>
      <c r="AE3" s="168"/>
      <c r="AF3" s="168"/>
      <c r="AG3" s="169"/>
      <c r="AH3" s="170"/>
      <c r="AI3" s="170" t="s">
        <v>527</v>
      </c>
      <c r="AJ3" s="170" t="s">
        <v>528</v>
      </c>
      <c r="AK3" s="170" t="s">
        <v>529</v>
      </c>
      <c r="AL3" s="170" t="s">
        <v>528</v>
      </c>
      <c r="AM3" s="171" t="s">
        <v>530</v>
      </c>
      <c r="AN3" s="170" t="s">
        <v>528</v>
      </c>
      <c r="AO3" s="171" t="s">
        <v>531</v>
      </c>
      <c r="AP3" s="134"/>
      <c r="AQ3" s="1"/>
      <c r="AR3" s="1"/>
    </row>
    <row r="4" customFormat="1" customHeight="1" spans="1:44">
      <c r="A4" s="172">
        <v>1</v>
      </c>
      <c r="B4" s="173" t="s">
        <v>101</v>
      </c>
      <c r="C4" s="173" t="s">
        <v>450</v>
      </c>
      <c r="D4" s="173" t="s">
        <v>451</v>
      </c>
      <c r="E4" s="173" t="s">
        <v>101</v>
      </c>
      <c r="F4" s="173" t="s">
        <v>532</v>
      </c>
      <c r="G4" s="173" t="s">
        <v>533</v>
      </c>
      <c r="H4" s="101" t="s">
        <v>534</v>
      </c>
      <c r="I4" s="101"/>
      <c r="J4" s="101"/>
      <c r="K4" s="101"/>
      <c r="L4" s="174"/>
      <c r="M4" s="174"/>
      <c r="N4" s="101">
        <v>8000</v>
      </c>
      <c r="O4" s="101"/>
      <c r="P4" s="101">
        <v>8000</v>
      </c>
      <c r="Q4" s="174"/>
      <c r="R4" s="174"/>
      <c r="S4" s="174"/>
      <c r="T4" s="175">
        <v>0</v>
      </c>
      <c r="U4" s="175"/>
      <c r="V4" s="175"/>
      <c r="W4" s="176">
        <v>46204</v>
      </c>
      <c r="X4" s="177"/>
      <c r="Y4" s="28">
        <f>IF(L4&gt;0,(N4+O4)-(L4+M4),0)</f>
        <v>0</v>
      </c>
      <c r="Z4" s="178">
        <v>0</v>
      </c>
      <c r="AA4" s="27">
        <f>ROUND(Y4/21.75*Z4,2)</f>
        <v>0</v>
      </c>
      <c r="AB4" s="179" t="str">
        <f>VLOOKUP(C4,考勤!C:AH,32,0)</f>
        <v>440306200211143224</v>
      </c>
      <c r="AC4" s="180" t="str">
        <f>VLOOKUP(C4,考勤!C:AI,33,0)</f>
        <v>6214837889289025</v>
      </c>
      <c r="AD4" s="102" t="str">
        <f>VLOOKUP(C4,考勤!C:AK,35,0)</f>
        <v>18123802382</v>
      </c>
      <c r="AE4" s="102"/>
      <c r="AF4" s="102" t="str">
        <f>VLOOKUP(C4,考勤!C:F,2,0)</f>
        <v>麦汝琪</v>
      </c>
      <c r="AG4" s="101">
        <f>IF(D4=AF4,1)</f>
        <v>1</v>
      </c>
      <c r="AH4" s="29"/>
      <c r="AI4" s="29">
        <f>VLOOKUP(C4,工资表明细!$C$2:$P$322,14,0)</f>
        <v>8000</v>
      </c>
      <c r="AJ4" s="29">
        <f>AI4-N4</f>
        <v>0</v>
      </c>
      <c r="AK4" s="29">
        <f>VLOOKUP($C4,工资表明细!$C$2:$BF$322,16,0)</f>
        <v>0</v>
      </c>
      <c r="AL4" s="29">
        <f>AK4-Q4</f>
        <v>0</v>
      </c>
      <c r="AM4" s="58">
        <f>VLOOKUP(C4,考勤!$C$2:$H$100,6,0)</f>
        <v>0</v>
      </c>
      <c r="AN4" s="29">
        <f>AM4-T4</f>
        <v>0</v>
      </c>
      <c r="AO4" s="58">
        <f>COUNTIF(C:C,C4)</f>
        <v>1</v>
      </c>
      <c r="AP4" s="1"/>
      <c r="AQ4" s="1"/>
      <c r="AR4" s="1"/>
    </row>
    <row r="5" customFormat="1" customHeight="1" spans="1:44">
      <c r="A5" s="172">
        <v>2</v>
      </c>
      <c r="B5" s="173" t="s">
        <v>101</v>
      </c>
      <c r="C5" s="173" t="s">
        <v>455</v>
      </c>
      <c r="D5" s="173" t="s">
        <v>456</v>
      </c>
      <c r="E5" s="173" t="s">
        <v>101</v>
      </c>
      <c r="F5" s="173" t="s">
        <v>64</v>
      </c>
      <c r="G5" s="173" t="s">
        <v>535</v>
      </c>
      <c r="H5" s="101" t="s">
        <v>534</v>
      </c>
      <c r="I5" s="101"/>
      <c r="J5" s="101"/>
      <c r="K5" s="101"/>
      <c r="L5" s="174"/>
      <c r="M5" s="174"/>
      <c r="N5" s="101">
        <v>24000</v>
      </c>
      <c r="O5" s="101"/>
      <c r="P5" s="101">
        <v>24000</v>
      </c>
      <c r="Q5" s="174"/>
      <c r="R5" s="174"/>
      <c r="S5" s="174"/>
      <c r="T5" s="175">
        <v>2</v>
      </c>
      <c r="U5" s="175"/>
      <c r="V5" s="175"/>
      <c r="W5" s="176">
        <v>46206</v>
      </c>
      <c r="X5" s="177"/>
      <c r="Y5" s="28">
        <f>IF(L5&gt;0,(N5+O5)-(L5+M5),0)</f>
        <v>0</v>
      </c>
      <c r="Z5" s="178">
        <v>0</v>
      </c>
      <c r="AA5" s="27">
        <f>ROUND(Y5/21.75*Z5,2)</f>
        <v>0</v>
      </c>
      <c r="AB5" s="179" t="str">
        <f>VLOOKUP(C5,考勤!C:AH,32,0)</f>
        <v>440103198110182443</v>
      </c>
      <c r="AC5" s="180" t="str">
        <f>VLOOKUP(C5,考勤!C:AI,33,0)</f>
        <v>6214850206505908</v>
      </c>
      <c r="AD5" s="102" t="str">
        <f>VLOOKUP(C5,考勤!C:AK,35,0)</f>
        <v>13824413431</v>
      </c>
      <c r="AE5" s="102"/>
      <c r="AF5" s="102" t="str">
        <f>VLOOKUP(C5,考勤!C:F,2,0)</f>
        <v>郑立文</v>
      </c>
      <c r="AG5" s="101">
        <f>IF(D5=AF5,1)</f>
        <v>1</v>
      </c>
      <c r="AH5" s="29"/>
      <c r="AI5" s="29">
        <f>VLOOKUP(C5,工资表明细!$C$2:$P$322,14,0)</f>
        <v>24000</v>
      </c>
      <c r="AJ5" s="29">
        <f>AI5-N5</f>
        <v>0</v>
      </c>
      <c r="AK5" s="29">
        <f>VLOOKUP($C5,工资表明细!$C$2:$BF$322,16,0)</f>
        <v>0</v>
      </c>
      <c r="AL5" s="29">
        <f>AK5-Q5</f>
        <v>0</v>
      </c>
      <c r="AM5" s="58">
        <f>VLOOKUP(C5,考勤!$C$2:$H$100,6,0)</f>
        <v>2</v>
      </c>
      <c r="AN5" s="29">
        <f>AM5-T5</f>
        <v>0</v>
      </c>
      <c r="AO5" s="58">
        <f>COUNTIF(C:C,C5)</f>
        <v>1</v>
      </c>
      <c r="AP5" s="1"/>
      <c r="AQ5" s="1"/>
      <c r="AR5" s="1"/>
    </row>
    <row r="6" customFormat="1" customHeight="1" spans="1:44">
      <c r="A6" s="172">
        <v>3</v>
      </c>
      <c r="B6" s="173" t="s">
        <v>101</v>
      </c>
      <c r="C6" s="173" t="s">
        <v>459</v>
      </c>
      <c r="D6" s="173" t="s">
        <v>460</v>
      </c>
      <c r="E6" s="173" t="s">
        <v>101</v>
      </c>
      <c r="F6" s="173" t="s">
        <v>65</v>
      </c>
      <c r="G6" s="173" t="s">
        <v>536</v>
      </c>
      <c r="H6" s="101" t="s">
        <v>534</v>
      </c>
      <c r="I6" s="101"/>
      <c r="J6" s="101"/>
      <c r="K6" s="101"/>
      <c r="L6" s="174"/>
      <c r="M6" s="174"/>
      <c r="N6" s="101">
        <v>22000</v>
      </c>
      <c r="O6" s="101"/>
      <c r="P6" s="101">
        <v>22000</v>
      </c>
      <c r="Q6" s="174"/>
      <c r="R6" s="174"/>
      <c r="S6" s="174"/>
      <c r="T6" s="175">
        <v>10</v>
      </c>
      <c r="U6" s="175"/>
      <c r="V6" s="175"/>
      <c r="W6" s="176">
        <v>46218</v>
      </c>
      <c r="X6" s="177"/>
      <c r="Y6" s="28">
        <f>IF(L6&gt;0,(N6+O6)-(L6+M6),0)</f>
        <v>0</v>
      </c>
      <c r="Z6" s="178">
        <v>0</v>
      </c>
      <c r="AA6" s="27">
        <f>ROUND(Y6/21.75*Z6,2)</f>
        <v>0</v>
      </c>
      <c r="AB6" s="179" t="str">
        <f>VLOOKUP(C6,考勤!C:AH,32,0)</f>
        <v>34118119951106182X</v>
      </c>
      <c r="AC6" s="180" t="str">
        <f>VLOOKUP(C6,考勤!C:AI,33,0)</f>
        <v>6214856552716569</v>
      </c>
      <c r="AD6" s="102" t="str">
        <f>VLOOKUP(C6,考勤!C:AK,35,0)</f>
        <v>13713799617</v>
      </c>
      <c r="AE6" s="102"/>
      <c r="AF6" s="102" t="str">
        <f>VLOOKUP(C6,考勤!C:F,2,0)</f>
        <v>杨植清</v>
      </c>
      <c r="AG6" s="101">
        <f>IF(D6=AF6,1)</f>
        <v>1</v>
      </c>
      <c r="AH6" s="29"/>
      <c r="AI6" s="29">
        <f>VLOOKUP(C6,工资表明细!$C$2:$P$322,14,0)</f>
        <v>22000</v>
      </c>
      <c r="AJ6" s="29">
        <f>AI6-N6</f>
        <v>0</v>
      </c>
      <c r="AK6" s="29">
        <f>VLOOKUP($C6,工资表明细!$C$2:$BF$322,16,0)</f>
        <v>0</v>
      </c>
      <c r="AL6" s="29">
        <f>AK6-Q6</f>
        <v>0</v>
      </c>
      <c r="AM6" s="58">
        <f>VLOOKUP(C6,考勤!$C$2:$H$100,6,0)</f>
        <v>10</v>
      </c>
      <c r="AN6" s="29">
        <f>AM6-T6</f>
        <v>0</v>
      </c>
      <c r="AO6" s="58">
        <f>COUNTIF(C:C,C6)</f>
        <v>1</v>
      </c>
      <c r="AP6" s="1"/>
      <c r="AQ6" s="1"/>
      <c r="AR6" s="1"/>
    </row>
    <row r="7" customFormat="1" customHeight="1" spans="1:44">
      <c r="A7" s="172">
        <v>4</v>
      </c>
      <c r="B7" s="173" t="s">
        <v>101</v>
      </c>
      <c r="C7" s="173" t="s">
        <v>464</v>
      </c>
      <c r="D7" s="173" t="s">
        <v>465</v>
      </c>
      <c r="E7" s="173" t="s">
        <v>101</v>
      </c>
      <c r="F7" s="173" t="s">
        <v>67</v>
      </c>
      <c r="G7" s="173" t="s">
        <v>537</v>
      </c>
      <c r="H7" s="101" t="s">
        <v>534</v>
      </c>
      <c r="I7" s="101"/>
      <c r="J7" s="101"/>
      <c r="K7" s="101"/>
      <c r="L7" s="174"/>
      <c r="M7" s="174"/>
      <c r="N7" s="101">
        <v>20000</v>
      </c>
      <c r="O7" s="101"/>
      <c r="P7" s="101">
        <v>20000</v>
      </c>
      <c r="Q7" s="174"/>
      <c r="R7" s="174"/>
      <c r="S7" s="174"/>
      <c r="T7" s="175">
        <f>21.75-12</f>
        <v>9.75</v>
      </c>
      <c r="U7" s="175"/>
      <c r="V7" s="175"/>
      <c r="W7" s="176">
        <v>46219</v>
      </c>
      <c r="X7" s="177"/>
      <c r="Y7" s="28">
        <f>IF(L7&gt;0,(N7+O7)-(L7+M7),0)</f>
        <v>0</v>
      </c>
      <c r="Z7" s="178">
        <v>0</v>
      </c>
      <c r="AA7" s="27">
        <f>ROUND(Y7/21.75*Z7,2)</f>
        <v>0</v>
      </c>
      <c r="AB7" s="179" t="str">
        <f>VLOOKUP(C7,考勤!C:AH,32,0)</f>
        <v>440305200007093032</v>
      </c>
      <c r="AC7" s="180" t="str">
        <f>VLOOKUP(C7,考勤!C:AI,33,0)</f>
        <v>6214851805509192</v>
      </c>
      <c r="AD7" s="102" t="str">
        <f>VLOOKUP(C7,考勤!C:AK,35,0)</f>
        <v>18926598212</v>
      </c>
      <c r="AE7" s="102"/>
      <c r="AF7" s="102" t="str">
        <f>VLOOKUP(C7,考勤!C:F,2,0)</f>
        <v>罗凯成</v>
      </c>
      <c r="AG7" s="101">
        <f>IF(D7=AF7,1)</f>
        <v>1</v>
      </c>
      <c r="AH7" s="29"/>
      <c r="AI7" s="29">
        <f>VLOOKUP(C7,工资表明细!$C$2:$P$322,14,0)</f>
        <v>20000</v>
      </c>
      <c r="AJ7" s="29">
        <f>AI7-N7</f>
        <v>0</v>
      </c>
      <c r="AK7" s="29">
        <f>VLOOKUP($C7,工资表明细!$C$2:$BF$322,16,0)</f>
        <v>0</v>
      </c>
      <c r="AL7" s="29">
        <f>AK7-Q7</f>
        <v>0</v>
      </c>
      <c r="AM7" s="58">
        <f>VLOOKUP(C7,考勤!$C$2:$H$100,6,0)</f>
        <v>9.75</v>
      </c>
      <c r="AN7" s="29">
        <f>AM7-T7</f>
        <v>0</v>
      </c>
      <c r="AO7" s="58">
        <f>COUNTIF(C:C,C7)</f>
        <v>1</v>
      </c>
      <c r="AP7" s="1"/>
      <c r="AQ7" s="1"/>
      <c r="AR7" s="1"/>
    </row>
    <row r="8" customFormat="1" customHeight="1" spans="1:44">
      <c r="A8" s="172">
        <v>5</v>
      </c>
      <c r="B8" s="173" t="s">
        <v>101</v>
      </c>
      <c r="C8" s="173" t="s">
        <v>469</v>
      </c>
      <c r="D8" s="173" t="s">
        <v>470</v>
      </c>
      <c r="E8" s="173" t="s">
        <v>101</v>
      </c>
      <c r="F8" s="173" t="s">
        <v>67</v>
      </c>
      <c r="G8" s="173" t="s">
        <v>538</v>
      </c>
      <c r="H8" s="101" t="s">
        <v>534</v>
      </c>
      <c r="I8" s="101"/>
      <c r="J8" s="101"/>
      <c r="K8" s="101"/>
      <c r="L8" s="174"/>
      <c r="M8" s="174"/>
      <c r="N8" s="101">
        <v>26000</v>
      </c>
      <c r="O8" s="101"/>
      <c r="P8" s="101">
        <v>26000</v>
      </c>
      <c r="Q8" s="174"/>
      <c r="R8" s="174"/>
      <c r="S8" s="174"/>
      <c r="T8" s="175">
        <f>21.75-5</f>
        <v>16.75</v>
      </c>
      <c r="U8" s="175"/>
      <c r="V8" s="175"/>
      <c r="W8" s="176">
        <v>46230</v>
      </c>
      <c r="X8" s="177"/>
      <c r="Y8" s="28">
        <f>IF(L8&gt;0,(N8+O8)-(L8+M8),0)</f>
        <v>0</v>
      </c>
      <c r="Z8" s="178">
        <v>0</v>
      </c>
      <c r="AA8" s="27">
        <f>ROUND(Y8/21.75*Z8,2)</f>
        <v>0</v>
      </c>
      <c r="AB8" s="179" t="str">
        <f>VLOOKUP(C8,考勤!C:AH,32,0)</f>
        <v>441802199009226912</v>
      </c>
      <c r="AC8" s="180" t="str">
        <f>VLOOKUP(C8,考勤!C:AI,33,0)</f>
        <v>6214830700285595</v>
      </c>
      <c r="AD8" s="102" t="str">
        <f>VLOOKUP(C8,考勤!C:AK,35,0)</f>
        <v>18823858181</v>
      </c>
      <c r="AE8" s="102"/>
      <c r="AF8" s="102" t="str">
        <f>VLOOKUP(C8,考勤!C:F,2,0)</f>
        <v>余宏伟</v>
      </c>
      <c r="AG8" s="101">
        <f>IF(D8=AF8,1)</f>
        <v>1</v>
      </c>
      <c r="AH8" s="29"/>
      <c r="AI8" s="29">
        <f>VLOOKUP(C8,工资表明细!$C$2:$P$322,14,0)</f>
        <v>26000</v>
      </c>
      <c r="AJ8" s="29">
        <f>AI8-N8</f>
        <v>0</v>
      </c>
      <c r="AK8" s="29">
        <f>VLOOKUP($C8,工资表明细!$C$2:$BF$322,16,0)</f>
        <v>0</v>
      </c>
      <c r="AL8" s="29">
        <f>AK8-Q8</f>
        <v>0</v>
      </c>
      <c r="AM8" s="58">
        <f>VLOOKUP(C8,考勤!$C$2:$H$100,6,0)</f>
        <v>16.75</v>
      </c>
      <c r="AN8" s="29">
        <f>AM8-T8</f>
        <v>0</v>
      </c>
      <c r="AO8" s="58">
        <f>COUNTIF(C:C,C8)</f>
        <v>1</v>
      </c>
      <c r="AP8" s="1"/>
      <c r="AQ8" s="1"/>
      <c r="AR8" s="1"/>
    </row>
    <row r="9" customFormat="1" customHeight="1" spans="1:44">
      <c r="A9" s="172">
        <v>6</v>
      </c>
      <c r="B9" s="173" t="s">
        <v>101</v>
      </c>
      <c r="C9" s="173" t="s">
        <v>474</v>
      </c>
      <c r="D9" s="173" t="s">
        <v>475</v>
      </c>
      <c r="E9" s="173" t="s">
        <v>101</v>
      </c>
      <c r="F9" s="173" t="s">
        <v>69</v>
      </c>
      <c r="G9" s="173" t="s">
        <v>539</v>
      </c>
      <c r="H9" s="101" t="s">
        <v>534</v>
      </c>
      <c r="I9" s="101"/>
      <c r="J9" s="101"/>
      <c r="K9" s="101"/>
      <c r="L9" s="174"/>
      <c r="M9" s="174"/>
      <c r="N9" s="101">
        <v>4000</v>
      </c>
      <c r="O9" s="101"/>
      <c r="P9" s="101">
        <v>4000</v>
      </c>
      <c r="Q9" s="174"/>
      <c r="R9" s="174"/>
      <c r="S9" s="174"/>
      <c r="T9" s="175">
        <f>21.75-1</f>
        <v>20.75</v>
      </c>
      <c r="U9" s="175"/>
      <c r="V9" s="175"/>
      <c r="W9" s="176">
        <v>46234</v>
      </c>
      <c r="X9" s="177"/>
      <c r="Y9" s="28">
        <f>IF(L9&gt;0,(N9+O9)-(L9+M9),0)</f>
        <v>0</v>
      </c>
      <c r="Z9" s="178">
        <v>0</v>
      </c>
      <c r="AA9" s="27">
        <f>ROUND(Y9/21.75*Z9,2)</f>
        <v>0</v>
      </c>
      <c r="AB9" s="346" t="str">
        <f>VLOOKUP(C9,考勤!C:AH,32,0)</f>
        <v>441827200202063628</v>
      </c>
      <c r="AC9" s="347" t="str">
        <f>VLOOKUP(C9,考勤!C:AI,33,0)</f>
        <v>6214833691023108</v>
      </c>
      <c r="AD9" s="102">
        <f>VLOOKUP(C9,考勤!C:AK,35,0)</f>
        <v>13028890431</v>
      </c>
      <c r="AE9" s="102"/>
      <c r="AF9" s="102" t="str">
        <f>VLOOKUP(C9,考勤!C:F,2,0)</f>
        <v>谢琰</v>
      </c>
      <c r="AG9" s="101">
        <f>IF(D9=AF9,1)</f>
        <v>1</v>
      </c>
      <c r="AH9" s="29"/>
      <c r="AI9" s="29">
        <f>VLOOKUP(C9,工资表明细!$C$2:$P$322,14,0)</f>
        <v>4000</v>
      </c>
      <c r="AJ9" s="29">
        <f>AI9-N9</f>
        <v>0</v>
      </c>
      <c r="AK9" s="29">
        <f>VLOOKUP($C9,工资表明细!$C$2:$BF$322,16,0)</f>
        <v>0</v>
      </c>
      <c r="AL9" s="29">
        <f>AK9-Q9</f>
        <v>0</v>
      </c>
      <c r="AM9" s="58">
        <f>VLOOKUP(C9,考勤!$C$2:$H$100,6,0)</f>
        <v>20.75</v>
      </c>
      <c r="AN9" s="29">
        <f>AM9-T9</f>
        <v>0</v>
      </c>
      <c r="AO9" s="58">
        <f>COUNTIF(C:C,C9)</f>
        <v>1</v>
      </c>
      <c r="AP9" s="1"/>
      <c r="AQ9" s="1"/>
      <c r="AR9" s="1"/>
    </row>
    <row r="10" s="3" customFormat="1" customHeight="1" spans="1:44">
      <c r="A10" s="1"/>
      <c r="H10" s="5"/>
      <c r="J10" s="5"/>
      <c r="AA10" s="4"/>
      <c r="AE10" s="58"/>
      <c r="AG10" s="1"/>
      <c r="AH10" s="4"/>
      <c r="AI10" s="4"/>
      <c r="AJ10" s="4"/>
      <c r="AK10" s="4"/>
      <c r="AL10" s="4"/>
      <c r="AN10" s="4"/>
      <c r="AP10" s="1"/>
      <c r="AQ10" s="1"/>
      <c r="AR10" s="1"/>
    </row>
    <row r="11" s="3" customFormat="1" customHeight="1" spans="1:44">
      <c r="A11" s="1"/>
      <c r="H11" s="5"/>
      <c r="J11" s="5"/>
      <c r="AA11" s="4"/>
      <c r="AE11" s="58"/>
      <c r="AG11" s="1"/>
      <c r="AH11" s="4"/>
      <c r="AI11" s="4"/>
      <c r="AJ11" s="4"/>
      <c r="AK11" s="4"/>
      <c r="AL11" s="4"/>
      <c r="AN11" s="4"/>
      <c r="AP11" s="1"/>
      <c r="AQ11" s="1"/>
      <c r="AR11" s="1"/>
    </row>
    <row r="12" s="3" customFormat="1" customHeight="1" spans="1:44">
      <c r="A12" s="1"/>
      <c r="H12" s="5"/>
      <c r="J12" s="5"/>
      <c r="N12" s="3">
        <f>SUM(N4:N11)</f>
        <v>104000</v>
      </c>
      <c r="O12" s="3">
        <f>SUM(O4:O11)</f>
        <v>0</v>
      </c>
      <c r="P12" s="3">
        <f>SUM(P4:P11)</f>
        <v>104000</v>
      </c>
      <c r="Q12" s="3">
        <f>SUM(Q4:Q11)</f>
        <v>0</v>
      </c>
      <c r="R12" s="3">
        <f>SUM(R4:R11)</f>
        <v>0</v>
      </c>
      <c r="T12" s="3">
        <f>SUM(T4:T11)</f>
        <v>59.25</v>
      </c>
      <c r="Y12" s="3">
        <f>SUM(Y4:Y11)</f>
        <v>0</v>
      </c>
      <c r="Z12" s="3">
        <f>SUM(Z4:Z11)</f>
        <v>0</v>
      </c>
      <c r="AA12" s="3">
        <f>SUM(AA4:AA11)</f>
        <v>0</v>
      </c>
      <c r="AE12" s="58"/>
      <c r="AG12" s="1"/>
      <c r="AH12" s="4"/>
      <c r="AI12" s="4"/>
      <c r="AJ12" s="4"/>
      <c r="AK12" s="4"/>
      <c r="AL12" s="4"/>
      <c r="AN12" s="4"/>
      <c r="AP12" s="1"/>
      <c r="AQ12" s="1"/>
      <c r="AR12" s="1"/>
    </row>
    <row r="13" s="1" customFormat="1" customHeight="1" spans="1:44">
      <c r="T13" s="3">
        <f>T12-考勤!H87</f>
        <v>0</v>
      </c>
      <c r="AA13" s="45"/>
      <c r="AE13" s="33"/>
      <c r="AH13" s="45"/>
      <c r="AI13" s="45"/>
      <c r="AJ13" s="45"/>
      <c r="AK13" s="45"/>
      <c r="AL13" s="45"/>
      <c r="AN13" s="45"/>
    </row>
    <row r="14" s="1" customFormat="1" customHeight="1" spans="1:44">
      <c r="F14"/>
      <c r="Z14" s="33" t="s">
        <v>50</v>
      </c>
      <c r="AA14" s="30">
        <f>AA12+其他补发!L14-工资表明细!V83</f>
        <v>0</v>
      </c>
      <c r="AE14" s="33"/>
      <c r="AH14" s="45"/>
      <c r="AI14" s="45"/>
      <c r="AJ14" s="45"/>
      <c r="AK14" s="45"/>
      <c r="AL14" s="45"/>
      <c r="AN14" s="45"/>
    </row>
    <row r="15" s="1" customFormat="1" customHeight="1" spans="1:44">
      <c r="AA15" s="45"/>
      <c r="AE15" s="33"/>
      <c r="AH15" s="45"/>
      <c r="AI15" s="45"/>
      <c r="AJ15" s="45"/>
      <c r="AK15" s="45"/>
      <c r="AL15" s="45"/>
      <c r="AN15" s="45"/>
    </row>
    <row r="16" s="1" customFormat="1" customHeight="1" spans="1:44">
      <c r="B16" s="1" t="s">
        <v>540</v>
      </c>
      <c r="N16" s="45"/>
      <c r="AA16" s="45"/>
      <c r="AE16" s="33"/>
      <c r="AH16" s="45"/>
      <c r="AI16" s="45"/>
      <c r="AJ16" s="45"/>
      <c r="AK16" s="45"/>
      <c r="AL16" s="45"/>
      <c r="AN16" s="45"/>
    </row>
    <row r="17" s="1" customFormat="1" customHeight="1" spans="2:40">
      <c r="B17" s="181" t="s">
        <v>541</v>
      </c>
      <c r="C17" s="33" t="s">
        <v>542</v>
      </c>
      <c r="Q17" s="182"/>
      <c r="AA17" s="45"/>
      <c r="AE17" s="33"/>
      <c r="AH17" s="45"/>
      <c r="AI17" s="45"/>
      <c r="AJ17" s="45"/>
      <c r="AK17" s="45"/>
      <c r="AL17" s="45"/>
      <c r="AN17" s="45"/>
    </row>
    <row r="18" s="1" customFormat="1" customHeight="1" spans="2:40">
      <c r="B18" s="183" t="s">
        <v>543</v>
      </c>
      <c r="C18" s="33" t="s">
        <v>542</v>
      </c>
      <c r="G18"/>
      <c r="N18" s="182"/>
      <c r="AA18" s="45"/>
      <c r="AE18" s="33"/>
      <c r="AH18" s="45"/>
      <c r="AI18" s="45"/>
      <c r="AJ18" s="45"/>
      <c r="AK18" s="45"/>
      <c r="AL18" s="45"/>
      <c r="AN18" s="45"/>
    </row>
    <row r="19" s="1" customFormat="1" customHeight="1" spans="2:40">
      <c r="B19" s="183" t="s">
        <v>544</v>
      </c>
      <c r="C19" s="33">
        <v>1</v>
      </c>
      <c r="X19"/>
      <c r="AA19" s="45"/>
      <c r="AE19" s="33"/>
      <c r="AH19" s="45"/>
      <c r="AI19" s="45"/>
      <c r="AJ19" s="45"/>
      <c r="AK19" s="45"/>
      <c r="AL19" s="45"/>
      <c r="AN19" s="45"/>
    </row>
    <row r="20" s="1" customFormat="1" customHeight="1" spans="2:40">
      <c r="B20" s="181" t="s">
        <v>545</v>
      </c>
      <c r="C20" s="33">
        <v>1</v>
      </c>
      <c r="AA20" s="45"/>
      <c r="AE20" s="33"/>
      <c r="AH20" s="45"/>
      <c r="AI20" s="45"/>
      <c r="AJ20" s="45"/>
      <c r="AK20" s="45"/>
      <c r="AL20" s="45"/>
      <c r="AN20" s="45"/>
    </row>
    <row r="21" s="1" customFormat="1" customHeight="1" spans="2:40">
      <c r="B21" s="183" t="s">
        <v>546</v>
      </c>
      <c r="C21" s="33" t="s">
        <v>542</v>
      </c>
      <c r="R21" s="182"/>
      <c r="AA21" s="45"/>
      <c r="AE21" s="33"/>
      <c r="AH21" s="45"/>
      <c r="AI21" s="45"/>
      <c r="AJ21" s="45"/>
      <c r="AK21" s="45"/>
      <c r="AL21" s="45"/>
      <c r="AN21" s="45"/>
    </row>
    <row r="22" s="1" customFormat="1" customHeight="1" spans="2:40">
      <c r="O22"/>
      <c r="AA22" s="45"/>
      <c r="AE22" s="33"/>
      <c r="AH22" s="45"/>
      <c r="AI22" s="45"/>
      <c r="AJ22" s="45"/>
      <c r="AK22" s="45"/>
      <c r="AL22" s="45"/>
      <c r="AN22" s="45"/>
    </row>
    <row r="23" s="1" customFormat="1" customHeight="1" spans="2:40">
      <c r="AA23" s="45"/>
      <c r="AE23" s="33"/>
      <c r="AH23" s="45"/>
      <c r="AI23" s="45"/>
      <c r="AJ23" s="45"/>
      <c r="AK23" s="45"/>
      <c r="AL23" s="45"/>
      <c r="AN23" s="45"/>
    </row>
    <row r="24" s="1" customFormat="1" customHeight="1" spans="2:40">
      <c r="AA24" s="45"/>
      <c r="AE24" s="33"/>
      <c r="AH24" s="45"/>
      <c r="AI24" s="45"/>
      <c r="AJ24" s="45"/>
      <c r="AK24" s="45"/>
      <c r="AL24" s="45"/>
      <c r="AN24" s="45"/>
    </row>
    <row r="25" s="1" customFormat="1" customHeight="1" spans="2:40">
      <c r="AA25" s="45"/>
      <c r="AE25" s="33"/>
      <c r="AH25" s="45"/>
      <c r="AI25" s="45"/>
      <c r="AJ25" s="45"/>
      <c r="AK25" s="45"/>
      <c r="AL25" s="45"/>
      <c r="AN25" s="45"/>
    </row>
    <row r="26" s="1" customFormat="1" customHeight="1" spans="2:40">
      <c r="AA26" s="45"/>
      <c r="AE26" s="33"/>
      <c r="AH26" s="45"/>
      <c r="AI26" s="45"/>
      <c r="AJ26" s="45"/>
      <c r="AK26" s="45"/>
      <c r="AL26" s="45"/>
      <c r="AN26" s="45"/>
    </row>
    <row r="27" s="1" customFormat="1" customHeight="1" spans="2:40">
      <c r="AA27" s="45"/>
      <c r="AE27" s="33"/>
      <c r="AH27" s="45"/>
      <c r="AI27" s="45"/>
      <c r="AJ27" s="45"/>
      <c r="AK27" s="45"/>
      <c r="AL27" s="45"/>
      <c r="AN27" s="45"/>
    </row>
    <row r="28" s="1" customFormat="1" customHeight="1" spans="2:40">
      <c r="AA28" s="45"/>
      <c r="AE28" s="33"/>
      <c r="AH28" s="45"/>
      <c r="AI28" s="45"/>
      <c r="AJ28" s="45"/>
      <c r="AK28" s="45"/>
      <c r="AL28" s="45"/>
      <c r="AN28" s="45"/>
    </row>
    <row r="29" s="1" customFormat="1" customHeight="1" spans="2:40">
      <c r="AA29" s="45"/>
      <c r="AE29" s="33"/>
      <c r="AH29" s="45"/>
      <c r="AI29" s="45"/>
      <c r="AJ29" s="45"/>
      <c r="AK29" s="45"/>
      <c r="AL29" s="45"/>
      <c r="AN29" s="45"/>
    </row>
    <row r="30" s="1" customFormat="1" customHeight="1" spans="2:40">
      <c r="AA30" s="45"/>
      <c r="AE30" s="33"/>
      <c r="AH30" s="45"/>
      <c r="AI30" s="45"/>
      <c r="AJ30" s="45"/>
      <c r="AK30" s="45"/>
      <c r="AL30" s="45"/>
      <c r="AN30" s="45"/>
    </row>
    <row r="31" s="1" customFormat="1" customHeight="1" spans="2:40">
      <c r="AA31" s="45"/>
      <c r="AE31" s="33"/>
      <c r="AH31" s="45"/>
      <c r="AI31" s="45"/>
      <c r="AJ31" s="45"/>
      <c r="AK31" s="45"/>
      <c r="AL31" s="45"/>
      <c r="AN31" s="45"/>
    </row>
    <row r="32" s="1" customFormat="1" customHeight="1" spans="2:40">
      <c r="AA32" s="45"/>
      <c r="AE32" s="33"/>
      <c r="AH32" s="45"/>
      <c r="AI32" s="45"/>
      <c r="AJ32" s="45"/>
      <c r="AK32" s="45"/>
      <c r="AL32" s="45"/>
      <c r="AN32" s="45"/>
    </row>
    <row r="33" s="1" customFormat="1" customHeight="1" spans="27:40">
      <c r="AA33" s="45"/>
      <c r="AE33" s="33"/>
      <c r="AH33" s="45"/>
      <c r="AI33" s="45"/>
      <c r="AJ33" s="45"/>
      <c r="AK33" s="45"/>
      <c r="AL33" s="45"/>
      <c r="AN33" s="45"/>
    </row>
    <row r="34" s="1" customFormat="1" customHeight="1" spans="27:40">
      <c r="AA34" s="45"/>
      <c r="AE34" s="33"/>
      <c r="AH34" s="45"/>
      <c r="AI34" s="45"/>
      <c r="AJ34" s="45"/>
      <c r="AK34" s="45"/>
      <c r="AL34" s="45"/>
      <c r="AN34" s="45"/>
    </row>
    <row r="35" s="1" customFormat="1" customHeight="1" spans="27:40">
      <c r="AA35" s="45"/>
      <c r="AE35" s="33"/>
      <c r="AH35" s="45"/>
      <c r="AI35" s="45"/>
      <c r="AJ35" s="45"/>
      <c r="AK35" s="45"/>
      <c r="AL35" s="45"/>
      <c r="AN35" s="45"/>
    </row>
  </sheetData>
  <autoFilter xmlns:etc="http://www.wps.cn/officeDocument/2017/etCustomData" ref="A3:AR9" etc:filterBottomFollowUsedRange="0">
    <extLst/>
  </autoFilter>
  <mergeCells count="22">
    <mergeCell ref="H2:K2"/>
    <mergeCell ref="L2:S2"/>
    <mergeCell ref="A2:A3"/>
    <mergeCell ref="B2:B3"/>
    <mergeCell ref="C2:C3"/>
    <mergeCell ref="D2:D3"/>
    <mergeCell ref="E2:E3"/>
    <mergeCell ref="F2:F3"/>
    <mergeCell ref="G2:G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F2:AF3"/>
    <mergeCell ref="AG2:AG3"/>
  </mergeCells>
  <conditionalFormatting sqref="C1">
    <cfRule type="expression" dxfId="1" priority="2" stopIfTrue="1">
      <formula>AND(COUNTIF(#REF!,C1)&gt;1,NOT(ISBLANK(C1)))</formula>
    </cfRule>
  </conditionalFormatting>
  <conditionalFormatting sqref="C9">
    <cfRule type="duplicateValues" dxfId="0" priority="1"/>
  </conditionalFormatting>
  <conditionalFormatting sqref="C4:C8">
    <cfRule type="duplicateValues" dxfId="0" priority="3"/>
  </conditionalFormatting>
  <conditionalFormatting sqref="D2:D3">
    <cfRule type="duplicateValues" dxfId="0" priority="210"/>
  </conditionalFormatting>
  <pageMargins left="0.699305555555556" right="0.699305555555556" top="0.75" bottom="0.75" header="0.3" footer="0.3"/>
  <pageSetup paperSize="9" orientation="portrait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8">
    <tabColor rgb="FF92D050"/>
  </sheetPr>
  <dimension ref="A1:BC88"/>
  <sheetViews>
    <sheetView zoomScale="80" zoomScaleNormal="80" workbookViewId="0">
      <pane xSplit="8" ySplit="2" topLeftCell="I3" activePane="bottomRight" state="frozen"/>
      <selection/>
      <selection pane="topRight"/>
      <selection pane="bottomLeft"/>
      <selection pane="bottomRight" activeCell="BA83" sqref="BA83"/>
    </sheetView>
  </sheetViews>
  <sheetFormatPr defaultColWidth="9" defaultRowHeight="16.5"/>
  <cols>
    <col min="1" max="1" width="6.14285714285714" style="1" customWidth="1"/>
    <col min="2" max="2" width="12" style="6" customWidth="1"/>
    <col min="3" max="3" width="12.1428571428571" style="6" customWidth="1"/>
    <col min="4" max="4" width="9" style="6"/>
    <col min="5" max="5" width="12" style="6" customWidth="1"/>
    <col min="6" max="6" width="14.8571428571429" style="6" customWidth="1"/>
    <col min="7" max="7" width="12.1428571428571" style="6" customWidth="1"/>
    <col min="8" max="8" width="14.4285714285714" style="1"/>
    <col min="9" max="9" width="14.4285714285714" style="6"/>
    <col min="10" max="10" width="14.4285714285714" style="6" customWidth="1"/>
    <col min="11" max="12" width="10.4285714285714" style="1" customWidth="1"/>
    <col min="13" max="13" width="10.4285714285714" style="6" customWidth="1"/>
    <col min="14" max="14" width="10.4285714285714" style="1" customWidth="1"/>
    <col min="15" max="15" width="9.85714285714286" style="45" customWidth="1"/>
    <col min="16" max="23" width="9" style="1" customWidth="1"/>
    <col min="24" max="24" width="10.4285714285714" style="1" customWidth="1"/>
    <col min="25" max="25" width="11.7142857142857" style="1" customWidth="1"/>
    <col min="26" max="32" width="9" style="1" customWidth="1"/>
    <col min="33" max="33" width="13" style="1" customWidth="1"/>
    <col min="34" max="34" width="23.4285714285714" style="1" customWidth="1"/>
    <col min="35" max="35" width="23" style="1" customWidth="1"/>
    <col min="36" max="36" width="16.4285714285714" style="6" customWidth="1"/>
    <col min="37" max="37" width="14.5714285714286" style="6" customWidth="1"/>
    <col min="38" max="38" width="23.2857142857143" style="6" customWidth="1"/>
    <col min="39" max="40" width="12.5714285714286" style="6" customWidth="1"/>
    <col min="41" max="41" width="17.7142857142857" style="6" customWidth="1"/>
    <col min="42" max="43" width="13.1428571428571" style="6" customWidth="1"/>
    <col min="44" max="44" width="21.1428571428571" style="3" customWidth="1"/>
    <col min="45" max="46" width="11" style="3" customWidth="1"/>
    <col min="47" max="47" width="15.8571428571429" style="3" customWidth="1"/>
    <col min="48" max="49" width="14.5714285714286" style="3" customWidth="1"/>
    <col min="50" max="51" width="9.57142857142857" style="3" customWidth="1"/>
    <col min="52" max="52" width="9" style="3"/>
    <col min="53" max="53" width="25.5714285714286" style="6" customWidth="1"/>
    <col min="54" max="54" width="10.5714285714286" style="6" customWidth="1"/>
    <col min="55" max="55" width="17.2857142857143" style="3" customWidth="1"/>
    <col min="56" max="16384" width="9" style="6"/>
  </cols>
  <sheetData>
    <row r="1" spans="1:55">
      <c r="AR1" s="6"/>
      <c r="AS1" s="6"/>
      <c r="AT1" s="6"/>
      <c r="AU1" s="6"/>
      <c r="AV1" s="6"/>
      <c r="AW1" s="6"/>
      <c r="AX1" s="6"/>
      <c r="AY1" s="6"/>
    </row>
    <row r="2" ht="32.1" customHeight="1" spans="1:55">
      <c r="A2" s="134" t="s">
        <v>70</v>
      </c>
      <c r="B2" s="135" t="s">
        <v>547</v>
      </c>
      <c r="C2" s="135" t="s">
        <v>72</v>
      </c>
      <c r="D2" s="135" t="s">
        <v>73</v>
      </c>
      <c r="E2" s="135" t="s">
        <v>548</v>
      </c>
      <c r="F2" s="135" t="s">
        <v>75</v>
      </c>
      <c r="G2" s="135" t="s">
        <v>62</v>
      </c>
      <c r="H2" s="136" t="s">
        <v>530</v>
      </c>
      <c r="I2" s="137" t="s">
        <v>549</v>
      </c>
      <c r="J2" s="137" t="s">
        <v>550</v>
      </c>
      <c r="K2" s="134" t="s">
        <v>551</v>
      </c>
      <c r="L2" s="134" t="s">
        <v>552</v>
      </c>
      <c r="M2" s="135" t="s">
        <v>553</v>
      </c>
      <c r="N2" s="134" t="s">
        <v>554</v>
      </c>
      <c r="O2" s="138" t="s">
        <v>555</v>
      </c>
      <c r="P2" s="136" t="s">
        <v>556</v>
      </c>
      <c r="Q2" s="134" t="s">
        <v>557</v>
      </c>
      <c r="R2" s="134" t="s">
        <v>558</v>
      </c>
      <c r="S2" s="134" t="s">
        <v>559</v>
      </c>
      <c r="T2" s="134" t="s">
        <v>560</v>
      </c>
      <c r="U2" s="139" t="s">
        <v>561</v>
      </c>
      <c r="V2" s="139" t="s">
        <v>562</v>
      </c>
      <c r="W2" s="134" t="s">
        <v>563</v>
      </c>
      <c r="X2" s="134" t="s">
        <v>564</v>
      </c>
      <c r="Y2" s="134" t="s">
        <v>565</v>
      </c>
      <c r="Z2" s="134" t="s">
        <v>566</v>
      </c>
      <c r="AA2" s="134" t="s">
        <v>567</v>
      </c>
      <c r="AB2" s="134" t="s">
        <v>568</v>
      </c>
      <c r="AC2" s="134" t="s">
        <v>569</v>
      </c>
      <c r="AD2" s="134" t="s">
        <v>570</v>
      </c>
      <c r="AE2" s="134" t="s">
        <v>571</v>
      </c>
      <c r="AF2" s="134" t="s">
        <v>572</v>
      </c>
      <c r="AG2" s="134" t="s">
        <v>573</v>
      </c>
      <c r="AH2" s="134" t="s">
        <v>79</v>
      </c>
      <c r="AI2" s="134" t="s">
        <v>512</v>
      </c>
      <c r="AJ2" s="135" t="s">
        <v>574</v>
      </c>
      <c r="AK2" s="135" t="s">
        <v>513</v>
      </c>
      <c r="AL2" s="135" t="s">
        <v>98</v>
      </c>
      <c r="AM2" s="135" t="s">
        <v>78</v>
      </c>
      <c r="AN2" s="135" t="s">
        <v>575</v>
      </c>
      <c r="AO2" s="135" t="s">
        <v>576</v>
      </c>
      <c r="AP2" s="135" t="s">
        <v>577</v>
      </c>
      <c r="AQ2" s="135"/>
      <c r="AR2" s="140" t="s">
        <v>4</v>
      </c>
      <c r="AS2" s="140" t="s">
        <v>5</v>
      </c>
      <c r="AT2" s="140" t="s">
        <v>6</v>
      </c>
      <c r="AU2" s="140" t="s">
        <v>578</v>
      </c>
      <c r="AV2" s="140" t="s">
        <v>579</v>
      </c>
      <c r="AW2" s="140" t="s">
        <v>11</v>
      </c>
      <c r="AX2" s="141" t="s">
        <v>505</v>
      </c>
      <c r="AY2" s="141" t="s">
        <v>580</v>
      </c>
      <c r="AZ2" s="3" t="s">
        <v>581</v>
      </c>
      <c r="BC2" s="3" t="s">
        <v>582</v>
      </c>
    </row>
    <row r="3" s="34" customFormat="1" spans="1:55">
      <c r="A3" s="142">
        <f>ROW()-2</f>
        <v>1</v>
      </c>
      <c r="B3" s="143" t="s">
        <v>583</v>
      </c>
      <c r="C3" s="143" t="s">
        <v>102</v>
      </c>
      <c r="D3" s="143" t="s">
        <v>103</v>
      </c>
      <c r="E3" s="143" t="s">
        <v>101</v>
      </c>
      <c r="F3" s="143" t="s">
        <v>101</v>
      </c>
      <c r="G3" s="143"/>
      <c r="H3" s="143"/>
      <c r="I3" s="143"/>
      <c r="J3" s="143"/>
      <c r="K3" s="143">
        <v>0</v>
      </c>
      <c r="L3" s="143">
        <v>0</v>
      </c>
      <c r="M3" s="143"/>
      <c r="N3" s="143">
        <v>0</v>
      </c>
      <c r="O3" s="143">
        <v>0</v>
      </c>
      <c r="P3" s="143">
        <v>0</v>
      </c>
      <c r="Q3" s="143">
        <v>0</v>
      </c>
      <c r="R3" s="143">
        <v>0</v>
      </c>
      <c r="S3" s="143">
        <v>0</v>
      </c>
      <c r="T3" s="143">
        <v>0</v>
      </c>
      <c r="U3" s="143">
        <v>0</v>
      </c>
      <c r="V3" s="143">
        <v>0</v>
      </c>
      <c r="W3" s="143">
        <v>0</v>
      </c>
      <c r="X3" s="143">
        <v>0</v>
      </c>
      <c r="Y3" s="143">
        <v>0</v>
      </c>
      <c r="Z3" s="143"/>
      <c r="AA3" s="143">
        <v>0</v>
      </c>
      <c r="AB3" s="143">
        <v>0</v>
      </c>
      <c r="AC3" s="143">
        <v>0</v>
      </c>
      <c r="AD3" s="143">
        <v>0</v>
      </c>
      <c r="AE3" s="143">
        <v>0</v>
      </c>
      <c r="AF3" s="143">
        <v>0</v>
      </c>
      <c r="AG3" s="143">
        <v>0</v>
      </c>
      <c r="AH3" s="144" t="s">
        <v>106</v>
      </c>
      <c r="AI3" s="144" t="s">
        <v>107</v>
      </c>
      <c r="AJ3" s="144" t="s">
        <v>38</v>
      </c>
      <c r="AK3" s="144" t="s">
        <v>584</v>
      </c>
      <c r="AL3" s="144" t="s">
        <v>585</v>
      </c>
      <c r="AM3" s="144" t="s">
        <v>105</v>
      </c>
      <c r="AN3" s="144" t="s">
        <v>104</v>
      </c>
      <c r="AO3" s="144" t="s">
        <v>586</v>
      </c>
      <c r="AP3" s="144"/>
      <c r="AR3" s="36">
        <f>VLOOKUP($C3,工资表明细!$C$2:$Q$190,14,0)</f>
        <v>50000</v>
      </c>
      <c r="AS3" s="36">
        <f>VLOOKUP($C3,工资表明细!$C$2:$Q$190,15,0)</f>
        <v>0</v>
      </c>
      <c r="AT3" s="36">
        <f>SUMIFS(其他补发!H:H,其他补发!B:B,C3)</f>
        <v>0</v>
      </c>
      <c r="AU3" s="36">
        <f>ROUND((AR3+AS3+AT3)/21.75*(H3+O3+P3*0.3+AA3),2)-VLOOKUP(C3,工资表明细!$C$2:$U$190,19,0)</f>
        <v>0</v>
      </c>
      <c r="AV3" s="36">
        <f>ROUND(AR3/21.75/8*2*(K3+L3*3/2),2)+SUMIFS(加班费!H:H,加班费!D:D,C3)-VLOOKUP(C3,工资表明细!$C$2:$W$190,21,0)</f>
        <v>0</v>
      </c>
      <c r="AW3" s="36">
        <f t="shared" ref="AW3:AW66" si="0">ROUND(AR3/21.75/8*2*(K3+L3*3/2),2)</f>
        <v>0</v>
      </c>
      <c r="AX3" s="58">
        <f t="shared" ref="AX3:AX66" si="1">ROUND(SUM(H3,O3,P3*0.3,AA3),2)</f>
        <v>0</v>
      </c>
      <c r="AY3" s="58">
        <f t="shared" ref="AY3:AY66" si="2">ROUND(1-AX3/21.75,2)</f>
        <v>1</v>
      </c>
      <c r="AZ3" s="58">
        <f t="shared" ref="AZ3:AZ66" si="3">COUNTIF(C:C,C3)</f>
        <v>1</v>
      </c>
      <c r="BA3" s="348" t="str">
        <f>VLOOKUP(C3,工资表明细!$C$2:$P$223,13,0)</f>
        <v>6214855253515072</v>
      </c>
      <c r="BB3" s="34" t="b">
        <f t="shared" ref="BB3:BB66" si="4">BA3=AI3</f>
        <v>1</v>
      </c>
      <c r="BC3" s="58">
        <f t="shared" ref="BC3:BC66" si="5">ROUND(AR3/21.75/8*3*L3,2)</f>
        <v>0</v>
      </c>
    </row>
    <row r="4" s="34" customFormat="1" spans="1:55">
      <c r="A4" s="142">
        <f t="shared" ref="A4:A13" si="6">ROW()-2</f>
        <v>2</v>
      </c>
      <c r="B4" s="143" t="s">
        <v>583</v>
      </c>
      <c r="C4" s="143" t="s">
        <v>108</v>
      </c>
      <c r="D4" s="143" t="s">
        <v>109</v>
      </c>
      <c r="E4" s="143" t="s">
        <v>101</v>
      </c>
      <c r="F4" s="143" t="s">
        <v>101</v>
      </c>
      <c r="G4" s="143"/>
      <c r="H4" s="143"/>
      <c r="I4" s="143"/>
      <c r="J4" s="143"/>
      <c r="K4" s="143">
        <v>0</v>
      </c>
      <c r="L4" s="143">
        <v>0</v>
      </c>
      <c r="M4" s="143"/>
      <c r="N4" s="143">
        <v>0</v>
      </c>
      <c r="O4" s="143">
        <v>0</v>
      </c>
      <c r="P4" s="143">
        <v>0</v>
      </c>
      <c r="Q4" s="143">
        <v>0</v>
      </c>
      <c r="R4" s="143">
        <v>0</v>
      </c>
      <c r="S4" s="143">
        <v>0</v>
      </c>
      <c r="T4" s="143">
        <v>0</v>
      </c>
      <c r="U4" s="143">
        <v>0</v>
      </c>
      <c r="V4" s="143">
        <v>0</v>
      </c>
      <c r="W4" s="143">
        <v>0</v>
      </c>
      <c r="X4" s="143">
        <v>0</v>
      </c>
      <c r="Y4" s="143">
        <v>0</v>
      </c>
      <c r="Z4" s="143"/>
      <c r="AA4" s="143">
        <v>0</v>
      </c>
      <c r="AB4" s="143">
        <v>0</v>
      </c>
      <c r="AC4" s="143">
        <v>0</v>
      </c>
      <c r="AD4" s="143">
        <v>0</v>
      </c>
      <c r="AE4" s="143">
        <v>0</v>
      </c>
      <c r="AF4" s="143">
        <v>0</v>
      </c>
      <c r="AG4" s="143">
        <v>0</v>
      </c>
      <c r="AH4" s="144" t="s">
        <v>111</v>
      </c>
      <c r="AI4" s="144" t="s">
        <v>112</v>
      </c>
      <c r="AJ4" s="144" t="s">
        <v>38</v>
      </c>
      <c r="AK4" s="144" t="s">
        <v>587</v>
      </c>
      <c r="AL4" s="144" t="s">
        <v>588</v>
      </c>
      <c r="AM4" s="144" t="s">
        <v>110</v>
      </c>
      <c r="AN4" s="144" t="s">
        <v>104</v>
      </c>
      <c r="AO4" s="144" t="s">
        <v>586</v>
      </c>
      <c r="AP4" s="144"/>
      <c r="AR4" s="36">
        <f>VLOOKUP($C4,工资表明细!$C$2:$Q$190,14,0)</f>
        <v>16000</v>
      </c>
      <c r="AS4" s="36">
        <f>VLOOKUP($C4,工资表明细!$C$2:$Q$190,15,0)</f>
        <v>0</v>
      </c>
      <c r="AT4" s="36">
        <f>SUMIFS(其他补发!H:H,其他补发!B:B,C4)</f>
        <v>0</v>
      </c>
      <c r="AU4" s="36">
        <f>ROUND((AR4+AS4+AT4)/21.75*(H4+O4+P4*0.3+AA4),2)-VLOOKUP(C4,工资表明细!$C$2:$U$190,19,0)</f>
        <v>0</v>
      </c>
      <c r="AV4" s="36">
        <f>ROUND(AR4/21.75/8*2*(K4+L4*3/2),2)+SUMIFS(加班费!H:H,加班费!D:D,C4)-VLOOKUP(C4,工资表明细!$C$2:$W$190,21,0)</f>
        <v>0</v>
      </c>
      <c r="AW4" s="36">
        <f t="shared" si="0"/>
        <v>0</v>
      </c>
      <c r="AX4" s="58">
        <f t="shared" si="1"/>
        <v>0</v>
      </c>
      <c r="AY4" s="58">
        <f t="shared" si="2"/>
        <v>1</v>
      </c>
      <c r="AZ4" s="58">
        <f t="shared" si="3"/>
        <v>1</v>
      </c>
      <c r="BA4" s="34" t="str">
        <f>VLOOKUP(C4,工资表明细!$C$2:$P$223,13,0)</f>
        <v>6214834366472596</v>
      </c>
      <c r="BB4" s="34" t="b">
        <f t="shared" si="4"/>
        <v>1</v>
      </c>
      <c r="BC4" s="58">
        <f t="shared" si="5"/>
        <v>0</v>
      </c>
    </row>
    <row r="5" s="34" customFormat="1" spans="1:55">
      <c r="A5" s="142">
        <f t="shared" si="6"/>
        <v>3</v>
      </c>
      <c r="B5" s="143" t="s">
        <v>583</v>
      </c>
      <c r="C5" s="143" t="s">
        <v>113</v>
      </c>
      <c r="D5" s="143" t="s">
        <v>114</v>
      </c>
      <c r="E5" s="143" t="s">
        <v>101</v>
      </c>
      <c r="F5" s="143" t="s">
        <v>101</v>
      </c>
      <c r="G5" s="143"/>
      <c r="H5" s="143"/>
      <c r="I5" s="143"/>
      <c r="J5" s="143"/>
      <c r="K5" s="143">
        <v>0</v>
      </c>
      <c r="L5" s="143">
        <v>0</v>
      </c>
      <c r="M5" s="143"/>
      <c r="N5" s="143">
        <v>0</v>
      </c>
      <c r="O5" s="143">
        <v>0</v>
      </c>
      <c r="P5" s="143">
        <v>0</v>
      </c>
      <c r="Q5" s="143">
        <v>0</v>
      </c>
      <c r="R5" s="143">
        <v>0</v>
      </c>
      <c r="S5" s="143">
        <v>0</v>
      </c>
      <c r="T5" s="143">
        <v>0</v>
      </c>
      <c r="U5" s="143">
        <v>0</v>
      </c>
      <c r="V5" s="143">
        <v>0</v>
      </c>
      <c r="W5" s="143">
        <v>0</v>
      </c>
      <c r="X5" s="143">
        <v>0</v>
      </c>
      <c r="Y5" s="143">
        <v>0</v>
      </c>
      <c r="Z5" s="143"/>
      <c r="AA5" s="143">
        <v>0</v>
      </c>
      <c r="AB5" s="143">
        <v>0</v>
      </c>
      <c r="AC5" s="143">
        <v>0</v>
      </c>
      <c r="AD5" s="143">
        <v>0</v>
      </c>
      <c r="AE5" s="143">
        <v>0</v>
      </c>
      <c r="AF5" s="143">
        <v>0</v>
      </c>
      <c r="AG5" s="143">
        <v>0</v>
      </c>
      <c r="AH5" s="144" t="s">
        <v>116</v>
      </c>
      <c r="AI5" s="144" t="s">
        <v>117</v>
      </c>
      <c r="AJ5" s="144" t="s">
        <v>38</v>
      </c>
      <c r="AK5" s="144" t="s">
        <v>589</v>
      </c>
      <c r="AL5" s="144" t="s">
        <v>590</v>
      </c>
      <c r="AM5" s="144" t="s">
        <v>115</v>
      </c>
      <c r="AN5" s="144" t="s">
        <v>104</v>
      </c>
      <c r="AO5" s="144" t="s">
        <v>586</v>
      </c>
      <c r="AP5" s="144"/>
      <c r="AR5" s="36">
        <f>VLOOKUP($C5,工资表明细!$C$2:$Q$190,14,0)</f>
        <v>50000</v>
      </c>
      <c r="AS5" s="36">
        <f>VLOOKUP($C5,工资表明细!$C$2:$Q$190,15,0)</f>
        <v>0</v>
      </c>
      <c r="AT5" s="36">
        <f>SUMIFS(其他补发!H:H,其他补发!B:B,C5)</f>
        <v>0</v>
      </c>
      <c r="AU5" s="36">
        <f>ROUND((AR5+AS5+AT5)/21.75*(H5+O5+P5*0.3+AA5),2)-VLOOKUP(C5,工资表明细!$C$2:$U$190,19,0)</f>
        <v>0</v>
      </c>
      <c r="AV5" s="36">
        <f>ROUND(AR5/21.75/8*2*(K5+L5*3/2),2)+SUMIFS(加班费!H:H,加班费!D:D,C5)-VLOOKUP(C5,工资表明细!$C$2:$W$190,21,0)</f>
        <v>0</v>
      </c>
      <c r="AW5" s="36">
        <f t="shared" si="0"/>
        <v>0</v>
      </c>
      <c r="AX5" s="58">
        <f t="shared" si="1"/>
        <v>0</v>
      </c>
      <c r="AY5" s="58">
        <f t="shared" si="2"/>
        <v>1</v>
      </c>
      <c r="AZ5" s="58">
        <f t="shared" si="3"/>
        <v>1</v>
      </c>
      <c r="BA5" s="34" t="str">
        <f>VLOOKUP(C5,工资表明细!$C$2:$P$223,13,0)</f>
        <v>6226096554090061</v>
      </c>
      <c r="BB5" s="34" t="b">
        <f t="shared" si="4"/>
        <v>1</v>
      </c>
      <c r="BC5" s="58">
        <f t="shared" si="5"/>
        <v>0</v>
      </c>
    </row>
    <row r="6" s="34" customFormat="1" spans="1:55">
      <c r="A6" s="142">
        <f t="shared" si="6"/>
        <v>4</v>
      </c>
      <c r="B6" s="143" t="s">
        <v>583</v>
      </c>
      <c r="C6" s="143" t="s">
        <v>118</v>
      </c>
      <c r="D6" s="143" t="s">
        <v>119</v>
      </c>
      <c r="E6" s="143" t="s">
        <v>101</v>
      </c>
      <c r="F6" s="143" t="s">
        <v>101</v>
      </c>
      <c r="G6" s="143"/>
      <c r="H6" s="143"/>
      <c r="I6" s="143"/>
      <c r="J6" s="143"/>
      <c r="K6" s="143">
        <v>0</v>
      </c>
      <c r="L6" s="143">
        <v>0</v>
      </c>
      <c r="M6" s="143"/>
      <c r="N6" s="143">
        <v>0</v>
      </c>
      <c r="O6" s="143">
        <v>0</v>
      </c>
      <c r="P6" s="143">
        <v>0</v>
      </c>
      <c r="Q6" s="143">
        <v>0</v>
      </c>
      <c r="R6" s="143">
        <v>0</v>
      </c>
      <c r="S6" s="143">
        <v>0</v>
      </c>
      <c r="T6" s="143">
        <v>0</v>
      </c>
      <c r="U6" s="143">
        <v>0</v>
      </c>
      <c r="V6" s="143">
        <v>0</v>
      </c>
      <c r="W6" s="143">
        <v>0</v>
      </c>
      <c r="X6" s="143">
        <v>0</v>
      </c>
      <c r="Y6" s="143">
        <v>0</v>
      </c>
      <c r="Z6" s="143"/>
      <c r="AA6" s="143">
        <v>0</v>
      </c>
      <c r="AB6" s="143">
        <v>0</v>
      </c>
      <c r="AC6" s="143">
        <v>0</v>
      </c>
      <c r="AD6" s="143">
        <v>0</v>
      </c>
      <c r="AE6" s="143">
        <v>0</v>
      </c>
      <c r="AF6" s="143">
        <v>0</v>
      </c>
      <c r="AG6" s="143">
        <v>0</v>
      </c>
      <c r="AH6" s="144" t="s">
        <v>121</v>
      </c>
      <c r="AI6" s="144" t="s">
        <v>122</v>
      </c>
      <c r="AJ6" s="144" t="s">
        <v>38</v>
      </c>
      <c r="AK6" s="144" t="s">
        <v>591</v>
      </c>
      <c r="AL6" s="144" t="s">
        <v>592</v>
      </c>
      <c r="AM6" s="144" t="s">
        <v>120</v>
      </c>
      <c r="AN6" s="144" t="s">
        <v>104</v>
      </c>
      <c r="AO6" s="144" t="s">
        <v>586</v>
      </c>
      <c r="AP6" s="144"/>
      <c r="AR6" s="36">
        <f>VLOOKUP($C6,工资表明细!$C$2:$Q$190,14,0)</f>
        <v>48000</v>
      </c>
      <c r="AS6" s="36">
        <f>VLOOKUP($C6,工资表明细!$C$2:$Q$190,15,0)</f>
        <v>0</v>
      </c>
      <c r="AT6" s="36">
        <f>SUMIFS(其他补发!H:H,其他补发!B:B,C6)</f>
        <v>0</v>
      </c>
      <c r="AU6" s="36">
        <f>ROUND((AR6+AS6+AT6)/21.75*(H6+O6+P6*0.3+AA6),2)-VLOOKUP(C6,工资表明细!$C$2:$U$190,19,0)</f>
        <v>0</v>
      </c>
      <c r="AV6" s="36">
        <f>ROUND(AR6/21.75/8*2*(K6+L6*3/2),2)+SUMIFS(加班费!H:H,加班费!D:D,C6)-VLOOKUP(C6,工资表明细!$C$2:$W$190,21,0)</f>
        <v>0</v>
      </c>
      <c r="AW6" s="36">
        <f t="shared" si="0"/>
        <v>0</v>
      </c>
      <c r="AX6" s="58">
        <f t="shared" si="1"/>
        <v>0</v>
      </c>
      <c r="AY6" s="58">
        <f t="shared" si="2"/>
        <v>1</v>
      </c>
      <c r="AZ6" s="58">
        <f t="shared" si="3"/>
        <v>1</v>
      </c>
      <c r="BA6" s="34" t="str">
        <f>VLOOKUP(C6,工资表明细!$C$2:$P$223,13,0)</f>
        <v>6225887813978158</v>
      </c>
      <c r="BB6" s="34" t="b">
        <f t="shared" si="4"/>
        <v>1</v>
      </c>
      <c r="BC6" s="58">
        <f t="shared" si="5"/>
        <v>0</v>
      </c>
    </row>
    <row r="7" s="34" customFormat="1" spans="1:55">
      <c r="A7" s="142">
        <f t="shared" si="6"/>
        <v>5</v>
      </c>
      <c r="B7" s="143" t="s">
        <v>583</v>
      </c>
      <c r="C7" s="143" t="s">
        <v>123</v>
      </c>
      <c r="D7" s="143" t="s">
        <v>124</v>
      </c>
      <c r="E7" s="143" t="s">
        <v>101</v>
      </c>
      <c r="F7" s="143" t="s">
        <v>101</v>
      </c>
      <c r="G7" s="143"/>
      <c r="H7" s="143"/>
      <c r="I7" s="143"/>
      <c r="J7" s="143"/>
      <c r="K7" s="143">
        <v>0</v>
      </c>
      <c r="L7" s="143">
        <v>0</v>
      </c>
      <c r="M7" s="143"/>
      <c r="N7" s="143">
        <v>0</v>
      </c>
      <c r="O7" s="143">
        <v>0</v>
      </c>
      <c r="P7" s="143">
        <v>0</v>
      </c>
      <c r="Q7" s="143">
        <v>0</v>
      </c>
      <c r="R7" s="143">
        <v>0</v>
      </c>
      <c r="S7" s="143">
        <v>0</v>
      </c>
      <c r="T7" s="143">
        <v>0</v>
      </c>
      <c r="U7" s="143">
        <v>0</v>
      </c>
      <c r="V7" s="143">
        <v>0</v>
      </c>
      <c r="W7" s="143">
        <v>0</v>
      </c>
      <c r="X7" s="143">
        <v>0</v>
      </c>
      <c r="Y7" s="143">
        <v>0</v>
      </c>
      <c r="Z7" s="143"/>
      <c r="AA7" s="143">
        <v>0</v>
      </c>
      <c r="AB7" s="143">
        <v>0</v>
      </c>
      <c r="AC7" s="143">
        <v>0</v>
      </c>
      <c r="AD7" s="143">
        <v>0</v>
      </c>
      <c r="AE7" s="143">
        <v>0</v>
      </c>
      <c r="AF7" s="143">
        <v>0</v>
      </c>
      <c r="AG7" s="143">
        <v>0</v>
      </c>
      <c r="AH7" s="144" t="s">
        <v>126</v>
      </c>
      <c r="AI7" s="144" t="s">
        <v>127</v>
      </c>
      <c r="AJ7" s="144" t="s">
        <v>36</v>
      </c>
      <c r="AK7" s="144" t="s">
        <v>593</v>
      </c>
      <c r="AL7" s="144" t="s">
        <v>590</v>
      </c>
      <c r="AM7" s="144" t="s">
        <v>125</v>
      </c>
      <c r="AN7" s="144" t="s">
        <v>104</v>
      </c>
      <c r="AO7" s="144" t="s">
        <v>586</v>
      </c>
      <c r="AP7" s="144"/>
      <c r="AR7" s="36">
        <f>VLOOKUP($C7,工资表明细!$C$2:$Q$190,14,0)</f>
        <v>45000</v>
      </c>
      <c r="AS7" s="36">
        <f>VLOOKUP($C7,工资表明细!$C$2:$Q$190,15,0)</f>
        <v>0</v>
      </c>
      <c r="AT7" s="36">
        <f>SUMIFS(其他补发!H:H,其他补发!B:B,C7)</f>
        <v>0</v>
      </c>
      <c r="AU7" s="36">
        <f>ROUND((AR7+AS7+AT7)/21.75*(H7+O7+P7*0.3+AA7),2)-VLOOKUP(C7,工资表明细!$C$2:$U$190,19,0)</f>
        <v>0</v>
      </c>
      <c r="AV7" s="36">
        <f>ROUND(AR7/21.75/8*2*(K7+L7*3/2),2)+SUMIFS(加班费!H:H,加班费!D:D,C7)-VLOOKUP(C7,工资表明细!$C$2:$W$190,21,0)</f>
        <v>0</v>
      </c>
      <c r="AW7" s="36">
        <f t="shared" si="0"/>
        <v>0</v>
      </c>
      <c r="AX7" s="58">
        <f t="shared" si="1"/>
        <v>0</v>
      </c>
      <c r="AY7" s="58">
        <f t="shared" si="2"/>
        <v>1</v>
      </c>
      <c r="AZ7" s="58">
        <f t="shared" si="3"/>
        <v>1</v>
      </c>
      <c r="BA7" s="34" t="str">
        <f>VLOOKUP(C7,工资表明细!$C$2:$P$223,13,0)</f>
        <v>6225886552211318</v>
      </c>
      <c r="BB7" s="34" t="b">
        <f t="shared" si="4"/>
        <v>1</v>
      </c>
      <c r="BC7" s="58">
        <f t="shared" si="5"/>
        <v>0</v>
      </c>
    </row>
    <row r="8" s="34" customFormat="1" spans="1:55">
      <c r="A8" s="142">
        <f t="shared" si="6"/>
        <v>6</v>
      </c>
      <c r="B8" s="143" t="s">
        <v>583</v>
      </c>
      <c r="C8" s="143" t="s">
        <v>128</v>
      </c>
      <c r="D8" s="143" t="s">
        <v>129</v>
      </c>
      <c r="E8" s="143" t="s">
        <v>101</v>
      </c>
      <c r="F8" s="143" t="s">
        <v>101</v>
      </c>
      <c r="G8" s="143"/>
      <c r="H8" s="143"/>
      <c r="I8" s="143"/>
      <c r="J8" s="143"/>
      <c r="K8" s="143">
        <v>0</v>
      </c>
      <c r="L8" s="143">
        <v>0</v>
      </c>
      <c r="M8" s="143"/>
      <c r="N8" s="143">
        <v>0</v>
      </c>
      <c r="O8" s="143">
        <v>0</v>
      </c>
      <c r="P8" s="143">
        <v>0</v>
      </c>
      <c r="Q8" s="143">
        <v>0</v>
      </c>
      <c r="R8" s="143">
        <v>0</v>
      </c>
      <c r="S8" s="143">
        <v>0</v>
      </c>
      <c r="T8" s="143">
        <v>0</v>
      </c>
      <c r="U8" s="143">
        <v>0</v>
      </c>
      <c r="V8" s="143">
        <v>0</v>
      </c>
      <c r="W8" s="143">
        <v>0</v>
      </c>
      <c r="X8" s="143">
        <v>0</v>
      </c>
      <c r="Y8" s="143">
        <v>0</v>
      </c>
      <c r="Z8" s="143"/>
      <c r="AA8" s="143">
        <v>0</v>
      </c>
      <c r="AB8" s="143">
        <v>0</v>
      </c>
      <c r="AC8" s="143">
        <v>0</v>
      </c>
      <c r="AD8" s="143">
        <v>0</v>
      </c>
      <c r="AE8" s="143">
        <v>0</v>
      </c>
      <c r="AF8" s="143">
        <v>0</v>
      </c>
      <c r="AG8" s="143">
        <v>0</v>
      </c>
      <c r="AH8" s="144" t="s">
        <v>131</v>
      </c>
      <c r="AI8" s="144" t="s">
        <v>132</v>
      </c>
      <c r="AJ8" s="144" t="s">
        <v>38</v>
      </c>
      <c r="AK8" s="144" t="s">
        <v>594</v>
      </c>
      <c r="AL8" s="144" t="s">
        <v>595</v>
      </c>
      <c r="AM8" s="144" t="s">
        <v>130</v>
      </c>
      <c r="AN8" s="144" t="s">
        <v>104</v>
      </c>
      <c r="AO8" s="144" t="s">
        <v>586</v>
      </c>
      <c r="AP8" s="144"/>
      <c r="AR8" s="36">
        <f>VLOOKUP($C8,工资表明细!$C$2:$Q$190,14,0)</f>
        <v>38000</v>
      </c>
      <c r="AS8" s="36">
        <f>VLOOKUP($C8,工资表明细!$C$2:$Q$190,15,0)</f>
        <v>0</v>
      </c>
      <c r="AT8" s="36">
        <f>SUMIFS(其他补发!H:H,其他补发!B:B,C8)</f>
        <v>0</v>
      </c>
      <c r="AU8" s="36">
        <f>ROUND((AR8+AS8+AT8)/21.75*(H8+O8+P8*0.3+AA8),2)-VLOOKUP(C8,工资表明细!$C$2:$U$190,19,0)</f>
        <v>0</v>
      </c>
      <c r="AV8" s="36">
        <f>ROUND(AR8/21.75/8*2*(K8+L8*3/2),2)+SUMIFS(加班费!H:H,加班费!D:D,C8)-VLOOKUP(C8,工资表明细!$C$2:$W$190,21,0)</f>
        <v>0</v>
      </c>
      <c r="AW8" s="36">
        <f t="shared" si="0"/>
        <v>0</v>
      </c>
      <c r="AX8" s="58">
        <f t="shared" si="1"/>
        <v>0</v>
      </c>
      <c r="AY8" s="58">
        <f t="shared" si="2"/>
        <v>1</v>
      </c>
      <c r="AZ8" s="58">
        <f t="shared" si="3"/>
        <v>1</v>
      </c>
      <c r="BA8" s="34" t="str">
        <f>VLOOKUP(C8,工资表明细!$C$2:$P$223,13,0)</f>
        <v>6214867829480822</v>
      </c>
      <c r="BB8" s="34" t="b">
        <f t="shared" si="4"/>
        <v>1</v>
      </c>
      <c r="BC8" s="58">
        <f t="shared" si="5"/>
        <v>0</v>
      </c>
    </row>
    <row r="9" s="34" customFormat="1" spans="1:55">
      <c r="A9" s="142">
        <f t="shared" si="6"/>
        <v>7</v>
      </c>
      <c r="B9" s="143" t="s">
        <v>583</v>
      </c>
      <c r="C9" s="143" t="s">
        <v>133</v>
      </c>
      <c r="D9" s="143" t="s">
        <v>134</v>
      </c>
      <c r="E9" s="143" t="s">
        <v>101</v>
      </c>
      <c r="F9" s="143" t="s">
        <v>101</v>
      </c>
      <c r="G9" s="143"/>
      <c r="H9" s="143"/>
      <c r="I9" s="143"/>
      <c r="J9" s="143"/>
      <c r="K9" s="143">
        <v>0</v>
      </c>
      <c r="L9" s="143">
        <v>0</v>
      </c>
      <c r="M9" s="143"/>
      <c r="N9" s="143">
        <v>0</v>
      </c>
      <c r="O9" s="143">
        <v>0</v>
      </c>
      <c r="P9" s="143">
        <v>0</v>
      </c>
      <c r="Q9" s="143">
        <v>0</v>
      </c>
      <c r="R9" s="143">
        <v>0</v>
      </c>
      <c r="S9" s="143">
        <v>0</v>
      </c>
      <c r="T9" s="143">
        <v>0</v>
      </c>
      <c r="U9" s="143">
        <v>0</v>
      </c>
      <c r="V9" s="143">
        <v>0</v>
      </c>
      <c r="W9" s="143">
        <v>0</v>
      </c>
      <c r="X9" s="143">
        <v>0</v>
      </c>
      <c r="Y9" s="143">
        <v>0</v>
      </c>
      <c r="Z9" s="143"/>
      <c r="AA9" s="143">
        <v>0</v>
      </c>
      <c r="AB9" s="143">
        <v>0</v>
      </c>
      <c r="AC9" s="143">
        <v>0</v>
      </c>
      <c r="AD9" s="143">
        <v>0</v>
      </c>
      <c r="AE9" s="143">
        <v>0</v>
      </c>
      <c r="AF9" s="143">
        <v>0</v>
      </c>
      <c r="AG9" s="143">
        <v>0</v>
      </c>
      <c r="AH9" s="144" t="s">
        <v>136</v>
      </c>
      <c r="AI9" s="144" t="s">
        <v>137</v>
      </c>
      <c r="AJ9" s="144" t="s">
        <v>36</v>
      </c>
      <c r="AK9" s="144" t="s">
        <v>596</v>
      </c>
      <c r="AL9" s="144" t="s">
        <v>590</v>
      </c>
      <c r="AM9" s="144" t="s">
        <v>135</v>
      </c>
      <c r="AN9" s="144" t="s">
        <v>104</v>
      </c>
      <c r="AO9" s="144" t="s">
        <v>586</v>
      </c>
      <c r="AP9" s="144"/>
      <c r="AR9" s="36">
        <f>VLOOKUP($C9,工资表明细!$C$2:$Q$190,14,0)</f>
        <v>18000</v>
      </c>
      <c r="AS9" s="36">
        <f>VLOOKUP($C9,工资表明细!$C$2:$Q$190,15,0)</f>
        <v>0</v>
      </c>
      <c r="AT9" s="36">
        <f>SUMIFS(其他补发!H:H,其他补发!B:B,C9)</f>
        <v>0</v>
      </c>
      <c r="AU9" s="36">
        <f>ROUND((AR9+AS9+AT9)/21.75*(H9+O9+P9*0.3+AA9),2)-VLOOKUP(C9,工资表明细!$C$2:$U$190,19,0)</f>
        <v>0</v>
      </c>
      <c r="AV9" s="36">
        <f>ROUND(AR9/21.75/8*2*(K9+L9*3/2),2)+SUMIFS(加班费!H:H,加班费!D:D,C9)-VLOOKUP(C9,工资表明细!$C$2:$W$190,21,0)</f>
        <v>0</v>
      </c>
      <c r="AW9" s="36">
        <f t="shared" si="0"/>
        <v>0</v>
      </c>
      <c r="AX9" s="58">
        <f t="shared" si="1"/>
        <v>0</v>
      </c>
      <c r="AY9" s="58">
        <f t="shared" si="2"/>
        <v>1</v>
      </c>
      <c r="AZ9" s="58">
        <f t="shared" si="3"/>
        <v>1</v>
      </c>
      <c r="BA9" s="34" t="str">
        <f>VLOOKUP(C9,工资表明细!$C$2:$P$223,13,0)</f>
        <v>6214851800394657</v>
      </c>
      <c r="BB9" s="34" t="b">
        <f t="shared" si="4"/>
        <v>1</v>
      </c>
      <c r="BC9" s="58">
        <f t="shared" si="5"/>
        <v>0</v>
      </c>
    </row>
    <row r="10" s="34" customFormat="1" spans="1:55">
      <c r="A10" s="142">
        <f t="shared" si="6"/>
        <v>8</v>
      </c>
      <c r="B10" s="143" t="s">
        <v>583</v>
      </c>
      <c r="C10" s="143" t="s">
        <v>138</v>
      </c>
      <c r="D10" s="143" t="s">
        <v>139</v>
      </c>
      <c r="E10" s="143" t="s">
        <v>101</v>
      </c>
      <c r="F10" s="143" t="s">
        <v>101</v>
      </c>
      <c r="G10" s="143"/>
      <c r="H10" s="143"/>
      <c r="I10" s="143"/>
      <c r="J10" s="143"/>
      <c r="K10" s="143">
        <v>0</v>
      </c>
      <c r="L10" s="143">
        <v>0</v>
      </c>
      <c r="M10" s="143"/>
      <c r="N10" s="143">
        <v>0</v>
      </c>
      <c r="O10" s="143">
        <v>0</v>
      </c>
      <c r="P10" s="143">
        <v>0</v>
      </c>
      <c r="Q10" s="143">
        <v>0</v>
      </c>
      <c r="R10" s="143">
        <v>0</v>
      </c>
      <c r="S10" s="143">
        <v>0</v>
      </c>
      <c r="T10" s="143">
        <v>0</v>
      </c>
      <c r="U10" s="143">
        <v>0</v>
      </c>
      <c r="V10" s="143">
        <v>0</v>
      </c>
      <c r="W10" s="143">
        <v>0</v>
      </c>
      <c r="X10" s="143">
        <v>0</v>
      </c>
      <c r="Y10" s="143">
        <v>0</v>
      </c>
      <c r="Z10" s="143"/>
      <c r="AA10" s="143">
        <v>0</v>
      </c>
      <c r="AB10" s="143">
        <v>0</v>
      </c>
      <c r="AC10" s="143">
        <v>0</v>
      </c>
      <c r="AD10" s="143">
        <v>0</v>
      </c>
      <c r="AE10" s="143">
        <v>0</v>
      </c>
      <c r="AF10" s="143">
        <v>0</v>
      </c>
      <c r="AG10" s="143">
        <v>0</v>
      </c>
      <c r="AH10" s="144" t="s">
        <v>140</v>
      </c>
      <c r="AI10" s="144" t="s">
        <v>141</v>
      </c>
      <c r="AJ10" s="144" t="s">
        <v>36</v>
      </c>
      <c r="AK10" s="144" t="s">
        <v>597</v>
      </c>
      <c r="AL10" s="144" t="s">
        <v>598</v>
      </c>
      <c r="AM10" s="144" t="s">
        <v>115</v>
      </c>
      <c r="AN10" s="144" t="s">
        <v>104</v>
      </c>
      <c r="AO10" s="144" t="s">
        <v>586</v>
      </c>
      <c r="AP10" s="144"/>
      <c r="AR10" s="36">
        <f>VLOOKUP($C10,工资表明细!$C$2:$Q$190,14,0)</f>
        <v>30000</v>
      </c>
      <c r="AS10" s="36">
        <f>VLOOKUP($C10,工资表明细!$C$2:$Q$190,15,0)</f>
        <v>0</v>
      </c>
      <c r="AT10" s="36">
        <f>SUMIFS(其他补发!H:H,其他补发!B:B,C10)</f>
        <v>0</v>
      </c>
      <c r="AU10" s="36">
        <f>ROUND((AR10+AS10+AT10)/21.75*(H10+O10+P10*0.3+AA10),2)-VLOOKUP(C10,工资表明细!$C$2:$U$190,19,0)</f>
        <v>0</v>
      </c>
      <c r="AV10" s="36">
        <f>ROUND(AR10/21.75/8*2*(K10+L10*3/2),2)+SUMIFS(加班费!H:H,加班费!D:D,C10)-VLOOKUP(C10,工资表明细!$C$2:$W$190,21,0)</f>
        <v>0</v>
      </c>
      <c r="AW10" s="36">
        <f t="shared" si="0"/>
        <v>0</v>
      </c>
      <c r="AX10" s="58">
        <f t="shared" si="1"/>
        <v>0</v>
      </c>
      <c r="AY10" s="58">
        <f t="shared" si="2"/>
        <v>1</v>
      </c>
      <c r="AZ10" s="58">
        <f t="shared" si="3"/>
        <v>1</v>
      </c>
      <c r="BA10" s="34" t="str">
        <f>VLOOKUP(C10,工资表明细!$C$2:$P$223,13,0)</f>
        <v>6214867555311811</v>
      </c>
      <c r="BB10" s="34" t="b">
        <f t="shared" si="4"/>
        <v>1</v>
      </c>
      <c r="BC10" s="58">
        <f t="shared" si="5"/>
        <v>0</v>
      </c>
    </row>
    <row r="11" s="34" customFormat="1" spans="1:55">
      <c r="A11" s="142">
        <f t="shared" si="6"/>
        <v>9</v>
      </c>
      <c r="B11" s="143" t="s">
        <v>583</v>
      </c>
      <c r="C11" s="143" t="s">
        <v>142</v>
      </c>
      <c r="D11" s="143" t="s">
        <v>143</v>
      </c>
      <c r="E11" s="143" t="s">
        <v>101</v>
      </c>
      <c r="F11" s="143" t="s">
        <v>101</v>
      </c>
      <c r="G11" s="143"/>
      <c r="H11" s="143"/>
      <c r="I11" s="143"/>
      <c r="J11" s="143"/>
      <c r="K11" s="143">
        <v>0</v>
      </c>
      <c r="L11" s="143">
        <v>0</v>
      </c>
      <c r="M11" s="143"/>
      <c r="N11" s="143">
        <v>0</v>
      </c>
      <c r="O11" s="143">
        <v>0</v>
      </c>
      <c r="P11" s="143">
        <v>0</v>
      </c>
      <c r="Q11" s="143">
        <v>0</v>
      </c>
      <c r="R11" s="143">
        <v>0</v>
      </c>
      <c r="S11" s="143">
        <v>0</v>
      </c>
      <c r="T11" s="143">
        <v>0</v>
      </c>
      <c r="U11" s="143">
        <v>0</v>
      </c>
      <c r="V11" s="143">
        <v>0</v>
      </c>
      <c r="W11" s="143">
        <v>0</v>
      </c>
      <c r="X11" s="143">
        <v>0</v>
      </c>
      <c r="Y11" s="143">
        <v>0</v>
      </c>
      <c r="Z11" s="143"/>
      <c r="AA11" s="143">
        <v>0</v>
      </c>
      <c r="AB11" s="143">
        <v>0</v>
      </c>
      <c r="AC11" s="143">
        <v>0</v>
      </c>
      <c r="AD11" s="143">
        <v>0</v>
      </c>
      <c r="AE11" s="143">
        <v>0</v>
      </c>
      <c r="AF11" s="143">
        <v>0</v>
      </c>
      <c r="AG11" s="143">
        <v>0</v>
      </c>
      <c r="AH11" s="144" t="s">
        <v>144</v>
      </c>
      <c r="AI11" s="144" t="s">
        <v>145</v>
      </c>
      <c r="AJ11" s="144" t="s">
        <v>36</v>
      </c>
      <c r="AK11" s="144" t="s">
        <v>599</v>
      </c>
      <c r="AL11" s="144" t="s">
        <v>600</v>
      </c>
      <c r="AM11" s="144" t="s">
        <v>115</v>
      </c>
      <c r="AN11" s="144" t="s">
        <v>104</v>
      </c>
      <c r="AO11" s="144" t="s">
        <v>586</v>
      </c>
      <c r="AP11" s="144"/>
      <c r="AR11" s="36">
        <f>VLOOKUP($C11,工资表明细!$C$2:$Q$190,14,0)</f>
        <v>30000</v>
      </c>
      <c r="AS11" s="36">
        <f>VLOOKUP($C11,工资表明细!$C$2:$Q$190,15,0)</f>
        <v>0</v>
      </c>
      <c r="AT11" s="36">
        <f>SUMIFS(其他补发!H:H,其他补发!B:B,C11)</f>
        <v>0</v>
      </c>
      <c r="AU11" s="36">
        <f>ROUND((AR11+AS11+AT11)/21.75*(H11+O11+P11*0.3+AA11),2)-VLOOKUP(C11,工资表明细!$C$2:$U$190,19,0)</f>
        <v>0</v>
      </c>
      <c r="AV11" s="36">
        <f>ROUND(AR11/21.75/8*2*(K11+L11*3/2),2)+SUMIFS(加班费!H:H,加班费!D:D,C11)-VLOOKUP(C11,工资表明细!$C$2:$W$190,21,0)</f>
        <v>0</v>
      </c>
      <c r="AW11" s="36">
        <f t="shared" si="0"/>
        <v>0</v>
      </c>
      <c r="AX11" s="58">
        <f t="shared" si="1"/>
        <v>0</v>
      </c>
      <c r="AY11" s="58">
        <f t="shared" si="2"/>
        <v>1</v>
      </c>
      <c r="AZ11" s="58">
        <f t="shared" si="3"/>
        <v>1</v>
      </c>
      <c r="BA11" s="34" t="str">
        <f>VLOOKUP(C11,工资表明细!$C$2:$P$223,13,0)</f>
        <v>6225887837426135</v>
      </c>
      <c r="BB11" s="34" t="b">
        <f t="shared" si="4"/>
        <v>1</v>
      </c>
      <c r="BC11" s="58">
        <f t="shared" si="5"/>
        <v>0</v>
      </c>
    </row>
    <row r="12" s="34" customFormat="1" spans="1:55">
      <c r="A12" s="142">
        <f t="shared" si="6"/>
        <v>10</v>
      </c>
      <c r="B12" s="143" t="s">
        <v>583</v>
      </c>
      <c r="C12" s="143" t="s">
        <v>146</v>
      </c>
      <c r="D12" s="143" t="s">
        <v>147</v>
      </c>
      <c r="E12" s="143" t="s">
        <v>101</v>
      </c>
      <c r="F12" s="143" t="s">
        <v>101</v>
      </c>
      <c r="G12" s="143"/>
      <c r="H12" s="143"/>
      <c r="I12" s="143"/>
      <c r="J12" s="143"/>
      <c r="K12" s="143">
        <v>0</v>
      </c>
      <c r="L12" s="143">
        <v>0</v>
      </c>
      <c r="M12" s="143"/>
      <c r="N12" s="143">
        <v>0</v>
      </c>
      <c r="O12" s="143">
        <v>0</v>
      </c>
      <c r="P12" s="143">
        <v>0</v>
      </c>
      <c r="Q12" s="143">
        <v>0</v>
      </c>
      <c r="R12" s="143">
        <v>0</v>
      </c>
      <c r="S12" s="143">
        <v>0</v>
      </c>
      <c r="T12" s="143">
        <v>0</v>
      </c>
      <c r="U12" s="143">
        <v>0</v>
      </c>
      <c r="V12" s="143">
        <v>0</v>
      </c>
      <c r="W12" s="143">
        <v>0</v>
      </c>
      <c r="X12" s="143">
        <v>0</v>
      </c>
      <c r="Y12" s="143">
        <v>0</v>
      </c>
      <c r="Z12" s="143"/>
      <c r="AA12" s="143">
        <v>0</v>
      </c>
      <c r="AB12" s="143">
        <v>0</v>
      </c>
      <c r="AC12" s="143">
        <v>0</v>
      </c>
      <c r="AD12" s="143">
        <v>0</v>
      </c>
      <c r="AE12" s="143">
        <v>0</v>
      </c>
      <c r="AF12" s="143">
        <v>0</v>
      </c>
      <c r="AG12" s="143">
        <v>0</v>
      </c>
      <c r="AH12" s="144" t="s">
        <v>149</v>
      </c>
      <c r="AI12" s="144" t="s">
        <v>150</v>
      </c>
      <c r="AJ12" s="144" t="s">
        <v>36</v>
      </c>
      <c r="AK12" s="144" t="s">
        <v>601</v>
      </c>
      <c r="AL12" s="144" t="s">
        <v>590</v>
      </c>
      <c r="AM12" s="144" t="s">
        <v>148</v>
      </c>
      <c r="AN12" s="144" t="s">
        <v>104</v>
      </c>
      <c r="AO12" s="144" t="s">
        <v>586</v>
      </c>
      <c r="AP12" s="144"/>
      <c r="AR12" s="36">
        <f>VLOOKUP($C12,工资表明细!$C$2:$Q$190,14,0)</f>
        <v>20000</v>
      </c>
      <c r="AS12" s="36">
        <f>VLOOKUP($C12,工资表明细!$C$2:$Q$190,15,0)</f>
        <v>0</v>
      </c>
      <c r="AT12" s="36">
        <f>SUMIFS(其他补发!H:H,其他补发!B:B,C12)</f>
        <v>0</v>
      </c>
      <c r="AU12" s="36">
        <f>ROUND((AR12+AS12+AT12)/21.75*(H12+O12+P12*0.3+AA12),2)-VLOOKUP(C12,工资表明细!$C$2:$U$190,19,0)</f>
        <v>0</v>
      </c>
      <c r="AV12" s="36">
        <f>ROUND(AR12/21.75/8*2*(K12+L12*3/2),2)+SUMIFS(加班费!H:H,加班费!D:D,C12)-VLOOKUP(C12,工资表明细!$C$2:$W$190,21,0)</f>
        <v>0</v>
      </c>
      <c r="AW12" s="36">
        <f t="shared" si="0"/>
        <v>0</v>
      </c>
      <c r="AX12" s="58">
        <f t="shared" si="1"/>
        <v>0</v>
      </c>
      <c r="AY12" s="58">
        <f t="shared" si="2"/>
        <v>1</v>
      </c>
      <c r="AZ12" s="58">
        <f t="shared" si="3"/>
        <v>1</v>
      </c>
      <c r="BA12" s="34" t="str">
        <f>VLOOKUP(C12,工资表明细!$C$2:$P$223,13,0)</f>
        <v>6214830506177103</v>
      </c>
      <c r="BB12" s="34" t="b">
        <f t="shared" si="4"/>
        <v>1</v>
      </c>
      <c r="BC12" s="58">
        <f t="shared" si="5"/>
        <v>0</v>
      </c>
    </row>
    <row r="13" s="34" customFormat="1" spans="1:55">
      <c r="A13" s="142">
        <f t="shared" si="6"/>
        <v>11</v>
      </c>
      <c r="B13" s="143" t="s">
        <v>583</v>
      </c>
      <c r="C13" s="143" t="s">
        <v>151</v>
      </c>
      <c r="D13" s="143" t="s">
        <v>152</v>
      </c>
      <c r="E13" s="143" t="s">
        <v>101</v>
      </c>
      <c r="F13" s="143" t="s">
        <v>101</v>
      </c>
      <c r="G13" s="143"/>
      <c r="H13" s="143"/>
      <c r="I13" s="143"/>
      <c r="J13" s="143"/>
      <c r="K13" s="143">
        <v>0</v>
      </c>
      <c r="L13" s="143">
        <v>0</v>
      </c>
      <c r="M13" s="143"/>
      <c r="N13" s="143">
        <v>0</v>
      </c>
      <c r="O13" s="143">
        <v>0</v>
      </c>
      <c r="P13" s="143">
        <v>0</v>
      </c>
      <c r="Q13" s="143">
        <v>0</v>
      </c>
      <c r="R13" s="143">
        <v>0</v>
      </c>
      <c r="S13" s="143">
        <v>0</v>
      </c>
      <c r="T13" s="143">
        <v>0</v>
      </c>
      <c r="U13" s="143">
        <v>0</v>
      </c>
      <c r="V13" s="143">
        <v>0</v>
      </c>
      <c r="W13" s="143">
        <v>0</v>
      </c>
      <c r="X13" s="143">
        <v>0</v>
      </c>
      <c r="Y13" s="143">
        <v>0</v>
      </c>
      <c r="Z13" s="143"/>
      <c r="AA13" s="143">
        <v>0</v>
      </c>
      <c r="AB13" s="143">
        <v>0</v>
      </c>
      <c r="AC13" s="143">
        <v>0</v>
      </c>
      <c r="AD13" s="143">
        <v>0</v>
      </c>
      <c r="AE13" s="143">
        <v>0</v>
      </c>
      <c r="AF13" s="143">
        <v>0</v>
      </c>
      <c r="AG13" s="143">
        <v>0</v>
      </c>
      <c r="AH13" s="144" t="s">
        <v>153</v>
      </c>
      <c r="AI13" s="144" t="s">
        <v>154</v>
      </c>
      <c r="AJ13" s="144" t="s">
        <v>33</v>
      </c>
      <c r="AK13" s="144" t="s">
        <v>602</v>
      </c>
      <c r="AL13" s="144" t="s">
        <v>603</v>
      </c>
      <c r="AM13" s="144" t="s">
        <v>115</v>
      </c>
      <c r="AN13" s="144" t="s">
        <v>104</v>
      </c>
      <c r="AO13" s="144" t="s">
        <v>586</v>
      </c>
      <c r="AP13" s="144"/>
      <c r="AR13" s="36">
        <f>VLOOKUP($C13,工资表明细!$C$2:$Q$190,14,0)</f>
        <v>25000</v>
      </c>
      <c r="AS13" s="36">
        <f>VLOOKUP($C13,工资表明细!$C$2:$Q$190,15,0)</f>
        <v>0</v>
      </c>
      <c r="AT13" s="36">
        <f>SUMIFS(其他补发!H:H,其他补发!B:B,C13)</f>
        <v>0</v>
      </c>
      <c r="AU13" s="36">
        <f>ROUND((AR13+AS13+AT13)/21.75*(H13+O13+P13*0.3+AA13),2)-VLOOKUP(C13,工资表明细!$C$2:$U$190,19,0)</f>
        <v>0</v>
      </c>
      <c r="AV13" s="36">
        <f>ROUND(AR13/21.75/8*2*(K13+L13*3/2),2)+SUMIFS(加班费!H:H,加班费!D:D,C13)-VLOOKUP(C13,工资表明细!$C$2:$W$190,21,0)</f>
        <v>0</v>
      </c>
      <c r="AW13" s="36">
        <f t="shared" si="0"/>
        <v>0</v>
      </c>
      <c r="AX13" s="58">
        <f t="shared" si="1"/>
        <v>0</v>
      </c>
      <c r="AY13" s="58">
        <f t="shared" si="2"/>
        <v>1</v>
      </c>
      <c r="AZ13" s="58">
        <f t="shared" si="3"/>
        <v>1</v>
      </c>
      <c r="BA13" s="34" t="str">
        <f>VLOOKUP(C13,工资表明细!$C$2:$P$223,13,0)</f>
        <v>6226096550170206</v>
      </c>
      <c r="BB13" s="34" t="b">
        <f t="shared" si="4"/>
        <v>1</v>
      </c>
      <c r="BC13" s="58">
        <f t="shared" si="5"/>
        <v>0</v>
      </c>
    </row>
    <row r="14" s="34" customFormat="1" spans="1:55">
      <c r="A14" s="142">
        <f t="shared" ref="A14:A23" si="7">ROW()-2</f>
        <v>12</v>
      </c>
      <c r="B14" s="143" t="s">
        <v>583</v>
      </c>
      <c r="C14" s="143" t="s">
        <v>155</v>
      </c>
      <c r="D14" s="143" t="s">
        <v>156</v>
      </c>
      <c r="E14" s="143" t="s">
        <v>101</v>
      </c>
      <c r="F14" s="143" t="s">
        <v>101</v>
      </c>
      <c r="G14" s="143"/>
      <c r="H14" s="143"/>
      <c r="I14" s="143"/>
      <c r="J14" s="143"/>
      <c r="K14" s="143">
        <v>0</v>
      </c>
      <c r="L14" s="143">
        <v>0</v>
      </c>
      <c r="M14" s="143"/>
      <c r="N14" s="143">
        <v>0</v>
      </c>
      <c r="O14" s="143">
        <v>0</v>
      </c>
      <c r="P14" s="143">
        <v>0</v>
      </c>
      <c r="Q14" s="143">
        <v>0</v>
      </c>
      <c r="R14" s="143">
        <v>0</v>
      </c>
      <c r="S14" s="143">
        <v>0</v>
      </c>
      <c r="T14" s="143">
        <v>0</v>
      </c>
      <c r="U14" s="143">
        <v>0</v>
      </c>
      <c r="V14" s="143">
        <v>0</v>
      </c>
      <c r="W14" s="143">
        <v>0</v>
      </c>
      <c r="X14" s="143">
        <v>0</v>
      </c>
      <c r="Y14" s="143">
        <v>0</v>
      </c>
      <c r="Z14" s="143"/>
      <c r="AA14" s="143">
        <v>0</v>
      </c>
      <c r="AB14" s="143">
        <v>0</v>
      </c>
      <c r="AC14" s="143">
        <v>0</v>
      </c>
      <c r="AD14" s="143">
        <v>0</v>
      </c>
      <c r="AE14" s="143">
        <v>0</v>
      </c>
      <c r="AF14" s="143">
        <v>0</v>
      </c>
      <c r="AG14" s="143">
        <v>0</v>
      </c>
      <c r="AH14" s="144" t="s">
        <v>158</v>
      </c>
      <c r="AI14" s="144" t="s">
        <v>159</v>
      </c>
      <c r="AJ14" s="144" t="s">
        <v>36</v>
      </c>
      <c r="AK14" s="144" t="s">
        <v>604</v>
      </c>
      <c r="AL14" s="144" t="s">
        <v>590</v>
      </c>
      <c r="AM14" s="144" t="s">
        <v>157</v>
      </c>
      <c r="AN14" s="144" t="s">
        <v>104</v>
      </c>
      <c r="AO14" s="144" t="s">
        <v>586</v>
      </c>
      <c r="AP14" s="144"/>
      <c r="AR14" s="36">
        <f>VLOOKUP($C14,工资表明细!$C$2:$Q$190,14,0)</f>
        <v>23000</v>
      </c>
      <c r="AS14" s="36">
        <f>VLOOKUP($C14,工资表明细!$C$2:$Q$190,15,0)</f>
        <v>0</v>
      </c>
      <c r="AT14" s="36">
        <f>SUMIFS(其他补发!H:H,其他补发!B:B,C14)</f>
        <v>0</v>
      </c>
      <c r="AU14" s="36">
        <f>ROUND((AR14+AS14+AT14)/21.75*(H14+O14+P14*0.3+AA14),2)-VLOOKUP(C14,工资表明细!$C$2:$U$190,19,0)</f>
        <v>0</v>
      </c>
      <c r="AV14" s="36">
        <f>ROUND(AR14/21.75/8*2*(K14+L14*3/2),2)+SUMIFS(加班费!H:H,加班费!D:D,C14)-VLOOKUP(C14,工资表明细!$C$2:$W$190,21,0)</f>
        <v>0</v>
      </c>
      <c r="AW14" s="36">
        <f t="shared" si="0"/>
        <v>0</v>
      </c>
      <c r="AX14" s="58">
        <f t="shared" si="1"/>
        <v>0</v>
      </c>
      <c r="AY14" s="58">
        <f t="shared" si="2"/>
        <v>1</v>
      </c>
      <c r="AZ14" s="58">
        <f t="shared" si="3"/>
        <v>1</v>
      </c>
      <c r="BA14" s="34" t="str">
        <f>VLOOKUP(C14,工资表明细!$C$2:$P$223,13,0)</f>
        <v>6214838652728835</v>
      </c>
      <c r="BB14" s="34" t="b">
        <f t="shared" si="4"/>
        <v>1</v>
      </c>
      <c r="BC14" s="58">
        <f t="shared" si="5"/>
        <v>0</v>
      </c>
    </row>
    <row r="15" s="34" customFormat="1" spans="1:55">
      <c r="A15" s="142">
        <f t="shared" si="7"/>
        <v>13</v>
      </c>
      <c r="B15" s="143" t="s">
        <v>583</v>
      </c>
      <c r="C15" s="143" t="s">
        <v>160</v>
      </c>
      <c r="D15" s="143" t="s">
        <v>161</v>
      </c>
      <c r="E15" s="143" t="s">
        <v>101</v>
      </c>
      <c r="F15" s="143" t="s">
        <v>101</v>
      </c>
      <c r="G15" s="143"/>
      <c r="H15" s="143"/>
      <c r="I15" s="143"/>
      <c r="J15" s="143"/>
      <c r="K15" s="143">
        <v>0</v>
      </c>
      <c r="L15" s="143">
        <v>0</v>
      </c>
      <c r="M15" s="143"/>
      <c r="N15" s="143">
        <v>0</v>
      </c>
      <c r="O15" s="143">
        <v>0</v>
      </c>
      <c r="P15" s="143">
        <v>0</v>
      </c>
      <c r="Q15" s="143">
        <v>0</v>
      </c>
      <c r="R15" s="143">
        <v>0</v>
      </c>
      <c r="S15" s="143">
        <v>0</v>
      </c>
      <c r="T15" s="143">
        <v>0</v>
      </c>
      <c r="U15" s="143">
        <v>0</v>
      </c>
      <c r="V15" s="143">
        <v>0</v>
      </c>
      <c r="W15" s="143">
        <v>0</v>
      </c>
      <c r="X15" s="143">
        <v>0</v>
      </c>
      <c r="Y15" s="143">
        <v>0</v>
      </c>
      <c r="Z15" s="143"/>
      <c r="AA15" s="143">
        <v>0</v>
      </c>
      <c r="AB15" s="143">
        <v>0</v>
      </c>
      <c r="AC15" s="143">
        <v>0</v>
      </c>
      <c r="AD15" s="143">
        <v>0</v>
      </c>
      <c r="AE15" s="143">
        <v>0</v>
      </c>
      <c r="AF15" s="143">
        <v>0</v>
      </c>
      <c r="AG15" s="143">
        <v>0</v>
      </c>
      <c r="AH15" s="144" t="s">
        <v>163</v>
      </c>
      <c r="AI15" s="144" t="s">
        <v>164</v>
      </c>
      <c r="AJ15" s="144" t="s">
        <v>36</v>
      </c>
      <c r="AK15" s="144" t="s">
        <v>605</v>
      </c>
      <c r="AL15" s="144" t="s">
        <v>590</v>
      </c>
      <c r="AM15" s="144" t="s">
        <v>162</v>
      </c>
      <c r="AN15" s="144" t="s">
        <v>104</v>
      </c>
      <c r="AO15" s="144" t="s">
        <v>606</v>
      </c>
      <c r="AP15" s="144"/>
      <c r="AR15" s="36">
        <f>VLOOKUP($C15,工资表明细!$C$2:$Q$190,14,0)</f>
        <v>21000</v>
      </c>
      <c r="AS15" s="36">
        <f>VLOOKUP($C15,工资表明细!$C$2:$Q$190,15,0)</f>
        <v>0</v>
      </c>
      <c r="AT15" s="36">
        <f>SUMIFS(其他补发!H:H,其他补发!B:B,C15)</f>
        <v>0</v>
      </c>
      <c r="AU15" s="36">
        <f>ROUND((AR15+AS15+AT15)/21.75*(H15+O15+P15*0.3+AA15),2)-VLOOKUP(C15,工资表明细!$C$2:$U$190,19,0)</f>
        <v>0</v>
      </c>
      <c r="AV15" s="36">
        <f>ROUND(AR15/21.75/8*2*(K15+L15*3/2),2)+SUMIFS(加班费!H:H,加班费!D:D,C15)-VLOOKUP(C15,工资表明细!$C$2:$W$190,21,0)</f>
        <v>0</v>
      </c>
      <c r="AW15" s="36">
        <f t="shared" si="0"/>
        <v>0</v>
      </c>
      <c r="AX15" s="58">
        <f t="shared" si="1"/>
        <v>0</v>
      </c>
      <c r="AY15" s="58">
        <f t="shared" si="2"/>
        <v>1</v>
      </c>
      <c r="AZ15" s="58">
        <f t="shared" si="3"/>
        <v>1</v>
      </c>
      <c r="BA15" s="34" t="str">
        <f>VLOOKUP(C15,工资表明细!$C$2:$P$223,13,0)</f>
        <v>6214855256011335</v>
      </c>
      <c r="BB15" s="34" t="b">
        <f t="shared" si="4"/>
        <v>1</v>
      </c>
      <c r="BC15" s="58">
        <f t="shared" si="5"/>
        <v>0</v>
      </c>
    </row>
    <row r="16" s="34" customFormat="1" spans="1:55">
      <c r="A16" s="142">
        <f t="shared" si="7"/>
        <v>14</v>
      </c>
      <c r="B16" s="143" t="s">
        <v>583</v>
      </c>
      <c r="C16" s="143" t="s">
        <v>165</v>
      </c>
      <c r="D16" s="143" t="s">
        <v>166</v>
      </c>
      <c r="E16" s="143" t="s">
        <v>101</v>
      </c>
      <c r="F16" s="143" t="s">
        <v>101</v>
      </c>
      <c r="G16" s="143"/>
      <c r="H16" s="143"/>
      <c r="I16" s="143"/>
      <c r="J16" s="143"/>
      <c r="K16" s="143">
        <v>0</v>
      </c>
      <c r="L16" s="143">
        <v>0</v>
      </c>
      <c r="M16" s="143"/>
      <c r="N16" s="143">
        <v>0</v>
      </c>
      <c r="O16" s="143">
        <v>0</v>
      </c>
      <c r="P16" s="143">
        <v>0</v>
      </c>
      <c r="Q16" s="143">
        <v>0</v>
      </c>
      <c r="R16" s="143">
        <v>0</v>
      </c>
      <c r="S16" s="143">
        <v>0</v>
      </c>
      <c r="T16" s="143">
        <v>0</v>
      </c>
      <c r="U16" s="143">
        <v>0</v>
      </c>
      <c r="V16" s="143">
        <v>0</v>
      </c>
      <c r="W16" s="143">
        <v>0</v>
      </c>
      <c r="X16" s="143">
        <v>0</v>
      </c>
      <c r="Y16" s="143">
        <v>0</v>
      </c>
      <c r="Z16" s="143"/>
      <c r="AA16" s="143">
        <v>0</v>
      </c>
      <c r="AB16" s="143">
        <v>0</v>
      </c>
      <c r="AC16" s="143">
        <v>0</v>
      </c>
      <c r="AD16" s="143">
        <v>0</v>
      </c>
      <c r="AE16" s="143">
        <v>0</v>
      </c>
      <c r="AF16" s="143">
        <v>0</v>
      </c>
      <c r="AG16" s="143">
        <v>0</v>
      </c>
      <c r="AH16" s="144" t="s">
        <v>168</v>
      </c>
      <c r="AI16" s="144" t="s">
        <v>169</v>
      </c>
      <c r="AJ16" s="144" t="s">
        <v>36</v>
      </c>
      <c r="AK16" s="144" t="s">
        <v>607</v>
      </c>
      <c r="AL16" s="144" t="s">
        <v>603</v>
      </c>
      <c r="AM16" s="144" t="s">
        <v>167</v>
      </c>
      <c r="AN16" s="144" t="s">
        <v>104</v>
      </c>
      <c r="AO16" s="144" t="s">
        <v>606</v>
      </c>
      <c r="AP16" s="144"/>
      <c r="AR16" s="36">
        <f>VLOOKUP($C16,工资表明细!$C$2:$Q$190,14,0)</f>
        <v>24000</v>
      </c>
      <c r="AS16" s="36">
        <f>VLOOKUP($C16,工资表明细!$C$2:$Q$190,15,0)</f>
        <v>0</v>
      </c>
      <c r="AT16" s="36">
        <f>SUMIFS(其他补发!H:H,其他补发!B:B,C16)</f>
        <v>0</v>
      </c>
      <c r="AU16" s="36">
        <f>ROUND((AR16+AS16+AT16)/21.75*(H16+O16+P16*0.3+AA16),2)-VLOOKUP(C16,工资表明细!$C$2:$U$190,19,0)</f>
        <v>0</v>
      </c>
      <c r="AV16" s="36">
        <f>ROUND(AR16/21.75/8*2*(K16+L16*3/2),2)+SUMIFS(加班费!H:H,加班费!D:D,C16)-VLOOKUP(C16,工资表明细!$C$2:$W$190,21,0)</f>
        <v>0</v>
      </c>
      <c r="AW16" s="36">
        <f t="shared" si="0"/>
        <v>0</v>
      </c>
      <c r="AX16" s="58">
        <f t="shared" si="1"/>
        <v>0</v>
      </c>
      <c r="AY16" s="58">
        <f t="shared" si="2"/>
        <v>1</v>
      </c>
      <c r="AZ16" s="58">
        <f t="shared" si="3"/>
        <v>1</v>
      </c>
      <c r="BA16" s="34" t="str">
        <f>VLOOKUP(C16,工资表明细!$C$2:$P$223,13,0)</f>
        <v>6214867805440519</v>
      </c>
      <c r="BB16" s="34" t="b">
        <f t="shared" si="4"/>
        <v>1</v>
      </c>
      <c r="BC16" s="58">
        <f t="shared" si="5"/>
        <v>0</v>
      </c>
    </row>
    <row r="17" s="34" customFormat="1" spans="1:55">
      <c r="A17" s="142">
        <f t="shared" si="7"/>
        <v>15</v>
      </c>
      <c r="B17" s="143" t="s">
        <v>583</v>
      </c>
      <c r="C17" s="143" t="s">
        <v>170</v>
      </c>
      <c r="D17" s="143" t="s">
        <v>171</v>
      </c>
      <c r="E17" s="143" t="s">
        <v>101</v>
      </c>
      <c r="F17" s="143" t="s">
        <v>101</v>
      </c>
      <c r="G17" s="143"/>
      <c r="H17" s="143"/>
      <c r="I17" s="143"/>
      <c r="J17" s="143"/>
      <c r="K17" s="143">
        <v>0</v>
      </c>
      <c r="L17" s="143">
        <v>0</v>
      </c>
      <c r="M17" s="143"/>
      <c r="N17" s="143">
        <v>0</v>
      </c>
      <c r="O17" s="143">
        <v>0</v>
      </c>
      <c r="P17" s="143">
        <v>0</v>
      </c>
      <c r="Q17" s="143">
        <v>0</v>
      </c>
      <c r="R17" s="143">
        <v>0</v>
      </c>
      <c r="S17" s="143">
        <v>0</v>
      </c>
      <c r="T17" s="143">
        <v>0</v>
      </c>
      <c r="U17" s="143">
        <v>0</v>
      </c>
      <c r="V17" s="143">
        <v>0</v>
      </c>
      <c r="W17" s="143">
        <v>0</v>
      </c>
      <c r="X17" s="143">
        <v>0</v>
      </c>
      <c r="Y17" s="143">
        <v>0</v>
      </c>
      <c r="Z17" s="143"/>
      <c r="AA17" s="143">
        <v>0</v>
      </c>
      <c r="AB17" s="143">
        <v>0</v>
      </c>
      <c r="AC17" s="143">
        <v>0</v>
      </c>
      <c r="AD17" s="143">
        <v>0</v>
      </c>
      <c r="AE17" s="143">
        <v>0</v>
      </c>
      <c r="AF17" s="143">
        <v>0</v>
      </c>
      <c r="AG17" s="143">
        <v>0</v>
      </c>
      <c r="AH17" s="144" t="s">
        <v>173</v>
      </c>
      <c r="AI17" s="144" t="s">
        <v>174</v>
      </c>
      <c r="AJ17" s="144" t="s">
        <v>36</v>
      </c>
      <c r="AK17" s="144" t="s">
        <v>608</v>
      </c>
      <c r="AL17" s="144" t="s">
        <v>609</v>
      </c>
      <c r="AM17" s="144" t="s">
        <v>172</v>
      </c>
      <c r="AN17" s="144" t="s">
        <v>104</v>
      </c>
      <c r="AO17" s="144" t="s">
        <v>610</v>
      </c>
      <c r="AP17" s="144"/>
      <c r="AR17" s="36">
        <f>VLOOKUP($C17,工资表明细!$C$2:$Q$190,14,0)</f>
        <v>16000</v>
      </c>
      <c r="AS17" s="36">
        <f>VLOOKUP($C17,工资表明细!$C$2:$Q$190,15,0)</f>
        <v>0</v>
      </c>
      <c r="AT17" s="36">
        <f>SUMIFS(其他补发!H:H,其他补发!B:B,C17)</f>
        <v>0</v>
      </c>
      <c r="AU17" s="36">
        <f>ROUND((AR17+AS17+AT17)/21.75*(H17+O17+P17*0.3+AA17),2)-VLOOKUP(C17,工资表明细!$C$2:$U$190,19,0)</f>
        <v>0</v>
      </c>
      <c r="AV17" s="36">
        <f>ROUND(AR17/21.75/8*2*(K17+L17*3/2),2)+SUMIFS(加班费!H:H,加班费!D:D,C17)-VLOOKUP(C17,工资表明细!$C$2:$W$190,21,0)</f>
        <v>0</v>
      </c>
      <c r="AW17" s="36">
        <f t="shared" si="0"/>
        <v>0</v>
      </c>
      <c r="AX17" s="58">
        <f t="shared" si="1"/>
        <v>0</v>
      </c>
      <c r="AY17" s="58">
        <f t="shared" si="2"/>
        <v>1</v>
      </c>
      <c r="AZ17" s="58">
        <f t="shared" si="3"/>
        <v>1</v>
      </c>
      <c r="BA17" s="34" t="str">
        <f>VLOOKUP(C17,工资表明细!$C$2:$P$223,13,0)</f>
        <v>6214830709967581</v>
      </c>
      <c r="BB17" s="34" t="b">
        <f t="shared" si="4"/>
        <v>1</v>
      </c>
      <c r="BC17" s="58">
        <f t="shared" si="5"/>
        <v>0</v>
      </c>
    </row>
    <row r="18" s="34" customFormat="1" spans="1:55">
      <c r="A18" s="142">
        <f t="shared" si="7"/>
        <v>16</v>
      </c>
      <c r="B18" s="143" t="s">
        <v>583</v>
      </c>
      <c r="C18" s="143" t="s">
        <v>175</v>
      </c>
      <c r="D18" s="143" t="s">
        <v>176</v>
      </c>
      <c r="E18" s="143" t="s">
        <v>101</v>
      </c>
      <c r="F18" s="143" t="s">
        <v>101</v>
      </c>
      <c r="G18" s="143" t="s">
        <v>63</v>
      </c>
      <c r="H18" s="143"/>
      <c r="I18" s="143"/>
      <c r="J18" s="143"/>
      <c r="K18" s="143">
        <v>0</v>
      </c>
      <c r="L18" s="143">
        <v>0</v>
      </c>
      <c r="M18" s="143"/>
      <c r="N18" s="143">
        <v>0</v>
      </c>
      <c r="O18" s="143">
        <v>0</v>
      </c>
      <c r="P18" s="143">
        <v>0</v>
      </c>
      <c r="Q18" s="143">
        <v>0</v>
      </c>
      <c r="R18" s="143">
        <v>0</v>
      </c>
      <c r="S18" s="143">
        <v>0</v>
      </c>
      <c r="T18" s="143">
        <v>0</v>
      </c>
      <c r="U18" s="143">
        <v>0</v>
      </c>
      <c r="V18" s="143">
        <v>0</v>
      </c>
      <c r="W18" s="143">
        <v>0</v>
      </c>
      <c r="X18" s="143">
        <v>0</v>
      </c>
      <c r="Y18" s="143">
        <v>0</v>
      </c>
      <c r="Z18" s="143"/>
      <c r="AA18" s="143">
        <v>0</v>
      </c>
      <c r="AB18" s="143">
        <v>0</v>
      </c>
      <c r="AC18" s="143">
        <v>0</v>
      </c>
      <c r="AD18" s="143">
        <v>0</v>
      </c>
      <c r="AE18" s="143">
        <v>0</v>
      </c>
      <c r="AF18" s="143">
        <v>0</v>
      </c>
      <c r="AG18" s="143">
        <v>0</v>
      </c>
      <c r="AH18" s="144" t="s">
        <v>178</v>
      </c>
      <c r="AI18" s="144" t="s">
        <v>179</v>
      </c>
      <c r="AJ18" s="144" t="s">
        <v>33</v>
      </c>
      <c r="AK18" s="144" t="s">
        <v>611</v>
      </c>
      <c r="AL18" s="144" t="s">
        <v>612</v>
      </c>
      <c r="AM18" s="144" t="s">
        <v>177</v>
      </c>
      <c r="AN18" s="144" t="s">
        <v>104</v>
      </c>
      <c r="AO18" s="144" t="s">
        <v>613</v>
      </c>
      <c r="AP18" s="144"/>
      <c r="AR18" s="36">
        <f>VLOOKUP($C18,工资表明细!$C$2:$Q$190,14,0)</f>
        <v>27000</v>
      </c>
      <c r="AS18" s="36">
        <f>VLOOKUP($C18,工资表明细!$C$2:$Q$190,15,0)</f>
        <v>0</v>
      </c>
      <c r="AT18" s="36">
        <f>SUMIFS(其他补发!H:H,其他补发!B:B,C18)</f>
        <v>0</v>
      </c>
      <c r="AU18" s="36">
        <f>ROUND((AR18+AS18+AT18)/21.75*(H18+O18+P18*0.3+AA18),2)-VLOOKUP(C18,工资表明细!$C$2:$U$190,19,0)</f>
        <v>0</v>
      </c>
      <c r="AV18" s="36">
        <f>ROUND(AR18/21.75/8*2*(K18+L18*3/2),2)+SUMIFS(加班费!H:H,加班费!D:D,C18)-VLOOKUP(C18,工资表明细!$C$2:$W$190,21,0)</f>
        <v>0</v>
      </c>
      <c r="AW18" s="36">
        <f t="shared" si="0"/>
        <v>0</v>
      </c>
      <c r="AX18" s="58">
        <f t="shared" si="1"/>
        <v>0</v>
      </c>
      <c r="AY18" s="58">
        <f t="shared" si="2"/>
        <v>1</v>
      </c>
      <c r="AZ18" s="58">
        <f t="shared" si="3"/>
        <v>1</v>
      </c>
      <c r="BA18" s="34" t="str">
        <f>VLOOKUP(C18,工资表明细!$C$2:$P$223,13,0)</f>
        <v>6226097802044165</v>
      </c>
      <c r="BB18" s="34" t="b">
        <f t="shared" si="4"/>
        <v>1</v>
      </c>
      <c r="BC18" s="58">
        <f t="shared" si="5"/>
        <v>0</v>
      </c>
    </row>
    <row r="19" s="34" customFormat="1" spans="1:55">
      <c r="A19" s="142">
        <f t="shared" si="7"/>
        <v>17</v>
      </c>
      <c r="B19" s="143" t="s">
        <v>583</v>
      </c>
      <c r="C19" s="143" t="s">
        <v>180</v>
      </c>
      <c r="D19" s="143" t="s">
        <v>181</v>
      </c>
      <c r="E19" s="143" t="s">
        <v>101</v>
      </c>
      <c r="F19" s="143" t="s">
        <v>101</v>
      </c>
      <c r="G19" s="143" t="s">
        <v>63</v>
      </c>
      <c r="H19" s="143"/>
      <c r="I19" s="143"/>
      <c r="J19" s="143"/>
      <c r="K19" s="143">
        <v>0</v>
      </c>
      <c r="L19" s="143">
        <v>0</v>
      </c>
      <c r="M19" s="143"/>
      <c r="N19" s="143">
        <v>0</v>
      </c>
      <c r="O19" s="143">
        <v>0</v>
      </c>
      <c r="P19" s="143">
        <v>0</v>
      </c>
      <c r="Q19" s="143">
        <v>0</v>
      </c>
      <c r="R19" s="143">
        <v>0</v>
      </c>
      <c r="S19" s="143">
        <v>0</v>
      </c>
      <c r="T19" s="143">
        <v>0</v>
      </c>
      <c r="U19" s="143">
        <v>0</v>
      </c>
      <c r="V19" s="143">
        <v>0</v>
      </c>
      <c r="W19" s="143">
        <v>0</v>
      </c>
      <c r="X19" s="143">
        <v>0</v>
      </c>
      <c r="Y19" s="143">
        <v>0</v>
      </c>
      <c r="Z19" s="143"/>
      <c r="AA19" s="143">
        <v>0</v>
      </c>
      <c r="AB19" s="143">
        <v>0</v>
      </c>
      <c r="AC19" s="143">
        <v>0</v>
      </c>
      <c r="AD19" s="143">
        <v>0</v>
      </c>
      <c r="AE19" s="143">
        <v>0</v>
      </c>
      <c r="AF19" s="143">
        <v>0</v>
      </c>
      <c r="AG19" s="143">
        <v>0</v>
      </c>
      <c r="AH19" s="144" t="s">
        <v>183</v>
      </c>
      <c r="AI19" s="144" t="s">
        <v>184</v>
      </c>
      <c r="AJ19" s="144" t="s">
        <v>33</v>
      </c>
      <c r="AK19" s="144" t="s">
        <v>614</v>
      </c>
      <c r="AL19" s="144" t="s">
        <v>615</v>
      </c>
      <c r="AM19" s="144" t="s">
        <v>182</v>
      </c>
      <c r="AN19" s="144" t="s">
        <v>104</v>
      </c>
      <c r="AO19" s="144" t="s">
        <v>613</v>
      </c>
      <c r="AP19" s="144"/>
      <c r="AR19" s="36">
        <f>VLOOKUP($C19,工资表明细!$C$2:$Q$190,14,0)</f>
        <v>14000</v>
      </c>
      <c r="AS19" s="36">
        <f>VLOOKUP($C19,工资表明细!$C$2:$Q$190,15,0)</f>
        <v>0</v>
      </c>
      <c r="AT19" s="36">
        <f>SUMIFS(其他补发!H:H,其他补发!B:B,C19)</f>
        <v>0</v>
      </c>
      <c r="AU19" s="36">
        <f>ROUND((AR19+AS19+AT19)/21.75*(H19+O19+P19*0.3+AA19),2)-VLOOKUP(C19,工资表明细!$C$2:$U$190,19,0)</f>
        <v>0</v>
      </c>
      <c r="AV19" s="36">
        <f>ROUND(AR19/21.75/8*2*(K19+L19*3/2),2)+SUMIFS(加班费!H:H,加班费!D:D,C19)-VLOOKUP(C19,工资表明细!$C$2:$W$190,21,0)</f>
        <v>0</v>
      </c>
      <c r="AW19" s="36">
        <f t="shared" si="0"/>
        <v>0</v>
      </c>
      <c r="AX19" s="58">
        <f t="shared" si="1"/>
        <v>0</v>
      </c>
      <c r="AY19" s="58">
        <f t="shared" si="2"/>
        <v>1</v>
      </c>
      <c r="AZ19" s="58">
        <f t="shared" si="3"/>
        <v>1</v>
      </c>
      <c r="BA19" s="34" t="str">
        <f>VLOOKUP(C19,工资表明细!$C$2:$P$223,13,0)</f>
        <v>6214830634161458</v>
      </c>
      <c r="BB19" s="34" t="b">
        <f t="shared" si="4"/>
        <v>1</v>
      </c>
      <c r="BC19" s="58">
        <f t="shared" si="5"/>
        <v>0</v>
      </c>
    </row>
    <row r="20" s="34" customFormat="1" spans="1:55">
      <c r="A20" s="142">
        <f t="shared" si="7"/>
        <v>18</v>
      </c>
      <c r="B20" s="143" t="s">
        <v>583</v>
      </c>
      <c r="C20" s="143" t="s">
        <v>185</v>
      </c>
      <c r="D20" s="143" t="s">
        <v>186</v>
      </c>
      <c r="E20" s="143" t="s">
        <v>101</v>
      </c>
      <c r="F20" s="143" t="s">
        <v>101</v>
      </c>
      <c r="G20" s="143" t="s">
        <v>65</v>
      </c>
      <c r="H20" s="143"/>
      <c r="I20" s="143"/>
      <c r="J20" s="143"/>
      <c r="K20" s="143">
        <v>0</v>
      </c>
      <c r="L20" s="143">
        <v>0</v>
      </c>
      <c r="M20" s="143"/>
      <c r="N20" s="143">
        <v>0</v>
      </c>
      <c r="O20" s="143">
        <v>0</v>
      </c>
      <c r="P20" s="143">
        <v>5</v>
      </c>
      <c r="Q20" s="143">
        <v>0</v>
      </c>
      <c r="R20" s="143">
        <v>0</v>
      </c>
      <c r="S20" s="143">
        <v>0</v>
      </c>
      <c r="T20" s="143">
        <v>0</v>
      </c>
      <c r="U20" s="143">
        <v>0</v>
      </c>
      <c r="V20" s="143">
        <v>0</v>
      </c>
      <c r="W20" s="143">
        <v>0</v>
      </c>
      <c r="X20" s="143">
        <v>0</v>
      </c>
      <c r="Y20" s="143">
        <v>0</v>
      </c>
      <c r="Z20" s="143"/>
      <c r="AA20" s="143">
        <v>0</v>
      </c>
      <c r="AB20" s="143">
        <v>0</v>
      </c>
      <c r="AC20" s="143">
        <v>0</v>
      </c>
      <c r="AD20" s="143">
        <v>0</v>
      </c>
      <c r="AE20" s="143">
        <v>0</v>
      </c>
      <c r="AF20" s="143">
        <v>0</v>
      </c>
      <c r="AG20" s="143">
        <v>0</v>
      </c>
      <c r="AH20" s="144" t="s">
        <v>188</v>
      </c>
      <c r="AI20" s="144" t="s">
        <v>189</v>
      </c>
      <c r="AJ20" s="144" t="s">
        <v>36</v>
      </c>
      <c r="AK20" s="144" t="s">
        <v>616</v>
      </c>
      <c r="AL20" s="144" t="s">
        <v>617</v>
      </c>
      <c r="AM20" s="144" t="s">
        <v>187</v>
      </c>
      <c r="AN20" s="144" t="s">
        <v>104</v>
      </c>
      <c r="AO20" s="144" t="s">
        <v>618</v>
      </c>
      <c r="AP20" s="144"/>
      <c r="AR20" s="36">
        <f>VLOOKUP($C20,工资表明细!$C$2:$Q$190,14,0)</f>
        <v>50000</v>
      </c>
      <c r="AS20" s="36">
        <f>VLOOKUP($C20,工资表明细!$C$2:$Q$190,15,0)</f>
        <v>0</v>
      </c>
      <c r="AT20" s="36">
        <f>SUMIFS(其他补发!H:H,其他补发!B:B,C20)</f>
        <v>0</v>
      </c>
      <c r="AU20" s="36">
        <f>ROUND((AR20+AS20+AT20)/21.75*(H20+O20+P20*0.3+AA20),2)-VLOOKUP(C20,工资表明细!$C$2:$U$190,19,0)</f>
        <v>0</v>
      </c>
      <c r="AV20" s="36">
        <f>ROUND(AR20/21.75/8*2*(K20+L20*3/2),2)+SUMIFS(加班费!H:H,加班费!D:D,C20)-VLOOKUP(C20,工资表明细!$C$2:$W$190,21,0)</f>
        <v>0</v>
      </c>
      <c r="AW20" s="36">
        <f t="shared" si="0"/>
        <v>0</v>
      </c>
      <c r="AX20" s="58">
        <f t="shared" si="1"/>
        <v>1.5</v>
      </c>
      <c r="AY20" s="58">
        <f t="shared" si="2"/>
        <v>0.93</v>
      </c>
      <c r="AZ20" s="58">
        <f t="shared" si="3"/>
        <v>1</v>
      </c>
      <c r="BA20" s="34" t="str">
        <f>VLOOKUP(C20,工资表明细!$C$2:$P$223,13,0)</f>
        <v>6214866550505336</v>
      </c>
      <c r="BB20" s="34" t="b">
        <f t="shared" si="4"/>
        <v>1</v>
      </c>
      <c r="BC20" s="58">
        <f t="shared" si="5"/>
        <v>0</v>
      </c>
    </row>
    <row r="21" ht="15" customHeight="1" spans="1:55">
      <c r="A21" s="142">
        <f t="shared" si="7"/>
        <v>19</v>
      </c>
      <c r="B21" s="143" t="s">
        <v>583</v>
      </c>
      <c r="C21" s="143" t="s">
        <v>190</v>
      </c>
      <c r="D21" s="143" t="s">
        <v>191</v>
      </c>
      <c r="E21" s="143" t="s">
        <v>101</v>
      </c>
      <c r="F21" s="143" t="s">
        <v>101</v>
      </c>
      <c r="G21" s="143" t="s">
        <v>532</v>
      </c>
      <c r="H21" s="143"/>
      <c r="I21" s="143"/>
      <c r="J21" s="143"/>
      <c r="K21" s="143">
        <v>0</v>
      </c>
      <c r="L21" s="143">
        <v>0</v>
      </c>
      <c r="M21" s="143"/>
      <c r="N21" s="143">
        <v>0</v>
      </c>
      <c r="O21" s="143">
        <v>0</v>
      </c>
      <c r="P21" s="143">
        <v>0</v>
      </c>
      <c r="Q21" s="143">
        <v>0</v>
      </c>
      <c r="R21" s="143">
        <v>0</v>
      </c>
      <c r="S21" s="143">
        <v>0</v>
      </c>
      <c r="T21" s="143">
        <v>0</v>
      </c>
      <c r="U21" s="143">
        <v>0</v>
      </c>
      <c r="V21" s="143">
        <v>0</v>
      </c>
      <c r="W21" s="143">
        <v>0</v>
      </c>
      <c r="X21" s="143">
        <v>0</v>
      </c>
      <c r="Y21" s="143">
        <v>0</v>
      </c>
      <c r="Z21" s="143"/>
      <c r="AA21" s="143">
        <v>0</v>
      </c>
      <c r="AB21" s="143">
        <v>0</v>
      </c>
      <c r="AC21" s="143">
        <v>0</v>
      </c>
      <c r="AD21" s="143">
        <v>0</v>
      </c>
      <c r="AE21" s="143">
        <v>0</v>
      </c>
      <c r="AF21" s="143">
        <v>0</v>
      </c>
      <c r="AG21" s="143">
        <v>0</v>
      </c>
      <c r="AH21" s="144" t="s">
        <v>193</v>
      </c>
      <c r="AI21" s="144" t="s">
        <v>194</v>
      </c>
      <c r="AJ21" s="144" t="s">
        <v>33</v>
      </c>
      <c r="AK21" s="144" t="s">
        <v>619</v>
      </c>
      <c r="AL21" s="144" t="s">
        <v>620</v>
      </c>
      <c r="AM21" s="144" t="s">
        <v>192</v>
      </c>
      <c r="AN21" s="144" t="s">
        <v>104</v>
      </c>
      <c r="AO21" s="144" t="s">
        <v>621</v>
      </c>
      <c r="AP21" s="144"/>
      <c r="AQ21" s="34"/>
      <c r="AR21" s="36">
        <f>VLOOKUP($C21,工资表明细!$C$2:$Q$190,14,0)</f>
        <v>14000</v>
      </c>
      <c r="AS21" s="36">
        <f>VLOOKUP($C21,工资表明细!$C$2:$Q$190,15,0)</f>
        <v>0</v>
      </c>
      <c r="AT21" s="36">
        <f>SUMIFS(其他补发!H:H,其他补发!B:B,C21)</f>
        <v>0</v>
      </c>
      <c r="AU21" s="36">
        <f>ROUND((AR21+AS21+AT21)/21.75*(H21+O21+P21*0.3+AA21),2)-VLOOKUP(C21,工资表明细!$C$2:$U$190,19,0)</f>
        <v>0</v>
      </c>
      <c r="AV21" s="36">
        <f>ROUND(AR21/21.75/8*2*(K21+L21*3/2),2)+SUMIFS(加班费!H:H,加班费!D:D,C21)-VLOOKUP(C21,工资表明细!$C$2:$W$190,21,0)</f>
        <v>0</v>
      </c>
      <c r="AW21" s="36">
        <f t="shared" si="0"/>
        <v>0</v>
      </c>
      <c r="AX21" s="58">
        <f t="shared" si="1"/>
        <v>0</v>
      </c>
      <c r="AY21" s="58">
        <f t="shared" si="2"/>
        <v>1</v>
      </c>
      <c r="AZ21" s="58">
        <f t="shared" si="3"/>
        <v>1</v>
      </c>
      <c r="BA21" s="34" t="str">
        <f>VLOOKUP(C21,工资表明细!$C$2:$P$223,13,0)</f>
        <v>6214851801328092</v>
      </c>
      <c r="BB21" s="34" t="b">
        <f t="shared" si="4"/>
        <v>1</v>
      </c>
      <c r="BC21" s="58">
        <f t="shared" si="5"/>
        <v>0</v>
      </c>
    </row>
    <row r="22" spans="1:55">
      <c r="A22" s="142">
        <f t="shared" si="7"/>
        <v>20</v>
      </c>
      <c r="B22" s="143" t="s">
        <v>583</v>
      </c>
      <c r="C22" s="143" t="s">
        <v>195</v>
      </c>
      <c r="D22" s="143" t="s">
        <v>196</v>
      </c>
      <c r="E22" s="143" t="s">
        <v>101</v>
      </c>
      <c r="F22" s="143" t="s">
        <v>101</v>
      </c>
      <c r="G22" s="143" t="s">
        <v>65</v>
      </c>
      <c r="H22" s="143"/>
      <c r="I22" s="143"/>
      <c r="J22" s="143"/>
      <c r="K22" s="143">
        <v>0</v>
      </c>
      <c r="L22" s="143">
        <v>0</v>
      </c>
      <c r="M22" s="143"/>
      <c r="N22" s="143">
        <v>0</v>
      </c>
      <c r="O22" s="143">
        <v>0</v>
      </c>
      <c r="P22" s="143">
        <v>0</v>
      </c>
      <c r="Q22" s="143">
        <v>0</v>
      </c>
      <c r="R22" s="143">
        <v>0</v>
      </c>
      <c r="S22" s="143">
        <v>0</v>
      </c>
      <c r="T22" s="143">
        <v>0</v>
      </c>
      <c r="U22" s="143">
        <v>0</v>
      </c>
      <c r="V22" s="143">
        <v>0</v>
      </c>
      <c r="W22" s="143">
        <v>0</v>
      </c>
      <c r="X22" s="143">
        <v>0</v>
      </c>
      <c r="Y22" s="143">
        <v>0</v>
      </c>
      <c r="Z22" s="143"/>
      <c r="AA22" s="143">
        <v>0</v>
      </c>
      <c r="AB22" s="143">
        <v>0</v>
      </c>
      <c r="AC22" s="143">
        <v>0</v>
      </c>
      <c r="AD22" s="143">
        <v>0</v>
      </c>
      <c r="AE22" s="143">
        <v>0</v>
      </c>
      <c r="AF22" s="143">
        <v>0</v>
      </c>
      <c r="AG22" s="143">
        <v>0</v>
      </c>
      <c r="AH22" s="144" t="s">
        <v>198</v>
      </c>
      <c r="AI22" s="144" t="s">
        <v>199</v>
      </c>
      <c r="AJ22" s="144" t="s">
        <v>36</v>
      </c>
      <c r="AK22" s="144" t="s">
        <v>622</v>
      </c>
      <c r="AL22" s="144" t="s">
        <v>623</v>
      </c>
      <c r="AM22" s="144" t="s">
        <v>197</v>
      </c>
      <c r="AN22" s="144" t="s">
        <v>104</v>
      </c>
      <c r="AO22" s="144" t="s">
        <v>624</v>
      </c>
      <c r="AP22" s="144"/>
      <c r="AQ22" s="34"/>
      <c r="AR22" s="36">
        <f>VLOOKUP($C22,工资表明细!$C$2:$Q$190,14,0)</f>
        <v>18000</v>
      </c>
      <c r="AS22" s="36">
        <f>VLOOKUP($C22,工资表明细!$C$2:$Q$190,15,0)</f>
        <v>0</v>
      </c>
      <c r="AT22" s="36">
        <f>SUMIFS(其他补发!H:H,其他补发!B:B,C22)</f>
        <v>0</v>
      </c>
      <c r="AU22" s="36">
        <f>ROUND((AR22+AS22+AT22)/21.75*(H22+O22+P22*0.3+AA22),2)-VLOOKUP(C22,工资表明细!$C$2:$U$190,19,0)</f>
        <v>0</v>
      </c>
      <c r="AV22" s="36">
        <f>ROUND(AR22/21.75/8*2*(K22+L22*3/2),2)+SUMIFS(加班费!H:H,加班费!D:D,C22)-VLOOKUP(C22,工资表明细!$C$2:$W$190,21,0)</f>
        <v>0</v>
      </c>
      <c r="AW22" s="36">
        <f t="shared" si="0"/>
        <v>0</v>
      </c>
      <c r="AX22" s="58">
        <f t="shared" si="1"/>
        <v>0</v>
      </c>
      <c r="AY22" s="58">
        <f t="shared" si="2"/>
        <v>1</v>
      </c>
      <c r="AZ22" s="58">
        <f t="shared" si="3"/>
        <v>1</v>
      </c>
      <c r="BA22" s="34" t="str">
        <f>VLOOKUP(C22,工资表明细!$C$2:$P$223,13,0)</f>
        <v>6214852005389823</v>
      </c>
      <c r="BB22" s="34" t="b">
        <f t="shared" si="4"/>
        <v>1</v>
      </c>
      <c r="BC22" s="58">
        <f t="shared" si="5"/>
        <v>0</v>
      </c>
    </row>
    <row r="23" spans="1:55">
      <c r="A23" s="142">
        <f t="shared" si="7"/>
        <v>21</v>
      </c>
      <c r="B23" s="143" t="s">
        <v>583</v>
      </c>
      <c r="C23" s="143" t="s">
        <v>200</v>
      </c>
      <c r="D23" s="143" t="s">
        <v>201</v>
      </c>
      <c r="E23" s="143" t="s">
        <v>101</v>
      </c>
      <c r="F23" s="143" t="s">
        <v>101</v>
      </c>
      <c r="G23" s="143" t="s">
        <v>65</v>
      </c>
      <c r="H23" s="143"/>
      <c r="I23" s="143"/>
      <c r="J23" s="143"/>
      <c r="K23" s="143">
        <v>0</v>
      </c>
      <c r="L23" s="143">
        <v>0</v>
      </c>
      <c r="M23" s="143"/>
      <c r="N23" s="143">
        <v>0</v>
      </c>
      <c r="O23" s="143">
        <v>0</v>
      </c>
      <c r="P23" s="143">
        <v>0</v>
      </c>
      <c r="Q23" s="143">
        <v>0</v>
      </c>
      <c r="R23" s="143">
        <v>0</v>
      </c>
      <c r="S23" s="143">
        <v>0</v>
      </c>
      <c r="T23" s="143">
        <v>0</v>
      </c>
      <c r="U23" s="143">
        <v>0</v>
      </c>
      <c r="V23" s="143">
        <v>0</v>
      </c>
      <c r="W23" s="143">
        <v>0</v>
      </c>
      <c r="X23" s="143">
        <v>0</v>
      </c>
      <c r="Y23" s="143">
        <v>0</v>
      </c>
      <c r="Z23" s="143"/>
      <c r="AA23" s="143">
        <v>0</v>
      </c>
      <c r="AB23" s="143">
        <v>0</v>
      </c>
      <c r="AC23" s="143">
        <v>0</v>
      </c>
      <c r="AD23" s="143">
        <v>0</v>
      </c>
      <c r="AE23" s="143">
        <v>0</v>
      </c>
      <c r="AF23" s="143">
        <v>0</v>
      </c>
      <c r="AG23" s="143">
        <v>0</v>
      </c>
      <c r="AH23" s="144" t="s">
        <v>202</v>
      </c>
      <c r="AI23" s="144" t="s">
        <v>203</v>
      </c>
      <c r="AJ23" s="144" t="s">
        <v>36</v>
      </c>
      <c r="AK23" s="144" t="s">
        <v>625</v>
      </c>
      <c r="AL23" s="144" t="s">
        <v>626</v>
      </c>
      <c r="AM23" s="144" t="s">
        <v>115</v>
      </c>
      <c r="AN23" s="144" t="s">
        <v>104</v>
      </c>
      <c r="AO23" s="144" t="s">
        <v>627</v>
      </c>
      <c r="AP23" s="144"/>
      <c r="AQ23" s="34"/>
      <c r="AR23" s="36">
        <f>VLOOKUP($C23,工资表明细!$C$2:$Q$190,14,0)</f>
        <v>14000</v>
      </c>
      <c r="AS23" s="36">
        <f>VLOOKUP($C23,工资表明细!$C$2:$Q$190,15,0)</f>
        <v>0</v>
      </c>
      <c r="AT23" s="36">
        <f>SUMIFS(其他补发!H:H,其他补发!B:B,C23)</f>
        <v>0</v>
      </c>
      <c r="AU23" s="36">
        <f>ROUND((AR23+AS23+AT23)/21.75*(H23+O23+P23*0.3+AA23),2)-VLOOKUP(C23,工资表明细!$C$2:$U$190,19,0)</f>
        <v>0</v>
      </c>
      <c r="AV23" s="36">
        <f>ROUND(AR23/21.75/8*2*(K23+L23*3/2),2)+SUMIFS(加班费!H:H,加班费!D:D,C23)-VLOOKUP(C23,工资表明细!$C$2:$W$190,21,0)</f>
        <v>0</v>
      </c>
      <c r="AW23" s="36">
        <f t="shared" si="0"/>
        <v>0</v>
      </c>
      <c r="AX23" s="58">
        <f t="shared" si="1"/>
        <v>0</v>
      </c>
      <c r="AY23" s="58">
        <f t="shared" si="2"/>
        <v>1</v>
      </c>
      <c r="AZ23" s="58">
        <f t="shared" si="3"/>
        <v>1</v>
      </c>
      <c r="BA23" s="34" t="str">
        <f>VLOOKUP(C23,工资表明细!$C$2:$P$223,13,0)</f>
        <v>6214851803294128</v>
      </c>
      <c r="BB23" s="34" t="b">
        <f t="shared" si="4"/>
        <v>1</v>
      </c>
      <c r="BC23" s="58">
        <f t="shared" si="5"/>
        <v>0</v>
      </c>
    </row>
    <row r="24" spans="1:55">
      <c r="A24" s="142">
        <f t="shared" ref="A24:A33" si="8">ROW()-2</f>
        <v>22</v>
      </c>
      <c r="B24" s="143" t="s">
        <v>583</v>
      </c>
      <c r="C24" s="143" t="s">
        <v>209</v>
      </c>
      <c r="D24" s="143" t="s">
        <v>210</v>
      </c>
      <c r="E24" s="143" t="s">
        <v>101</v>
      </c>
      <c r="F24" s="143" t="s">
        <v>101</v>
      </c>
      <c r="G24" s="143" t="s">
        <v>65</v>
      </c>
      <c r="H24" s="143"/>
      <c r="I24" s="143"/>
      <c r="J24" s="143"/>
      <c r="K24" s="143">
        <v>0</v>
      </c>
      <c r="L24" s="143">
        <v>0</v>
      </c>
      <c r="M24" s="143"/>
      <c r="N24" s="143">
        <v>0</v>
      </c>
      <c r="O24" s="143">
        <v>0</v>
      </c>
      <c r="P24" s="143">
        <v>0</v>
      </c>
      <c r="Q24" s="143">
        <v>0</v>
      </c>
      <c r="R24" s="143">
        <v>0</v>
      </c>
      <c r="S24" s="143">
        <v>0</v>
      </c>
      <c r="T24" s="143">
        <v>0</v>
      </c>
      <c r="U24" s="143">
        <v>0</v>
      </c>
      <c r="V24" s="143">
        <v>0</v>
      </c>
      <c r="W24" s="143">
        <v>0</v>
      </c>
      <c r="X24" s="143">
        <v>0</v>
      </c>
      <c r="Y24" s="143">
        <v>0</v>
      </c>
      <c r="Z24" s="143"/>
      <c r="AA24" s="143">
        <v>0</v>
      </c>
      <c r="AB24" s="143">
        <v>0</v>
      </c>
      <c r="AC24" s="143">
        <v>0</v>
      </c>
      <c r="AD24" s="143">
        <v>0</v>
      </c>
      <c r="AE24" s="143">
        <v>0</v>
      </c>
      <c r="AF24" s="143">
        <v>0</v>
      </c>
      <c r="AG24" s="143">
        <v>0</v>
      </c>
      <c r="AH24" s="144" t="s">
        <v>212</v>
      </c>
      <c r="AI24" s="144" t="s">
        <v>213</v>
      </c>
      <c r="AJ24" s="144" t="s">
        <v>36</v>
      </c>
      <c r="AK24" s="144" t="s">
        <v>628</v>
      </c>
      <c r="AL24" s="144" t="s">
        <v>629</v>
      </c>
      <c r="AM24" s="144" t="s">
        <v>211</v>
      </c>
      <c r="AN24" s="144" t="s">
        <v>104</v>
      </c>
      <c r="AO24" s="144" t="s">
        <v>630</v>
      </c>
      <c r="AP24" s="144"/>
      <c r="AQ24" s="34"/>
      <c r="AR24" s="36">
        <f>VLOOKUP($C24,工资表明细!$C$2:$Q$190,14,0)</f>
        <v>19000</v>
      </c>
      <c r="AS24" s="36">
        <f>VLOOKUP($C24,工资表明细!$C$2:$Q$190,15,0)</f>
        <v>0</v>
      </c>
      <c r="AT24" s="36">
        <f>SUMIFS(其他补发!H:H,其他补发!B:B,C24)</f>
        <v>0</v>
      </c>
      <c r="AU24" s="36">
        <f>ROUND((AR24+AS24+AT24)/21.75*(H24+O24+P24*0.3+AA24),2)-VLOOKUP(C24,工资表明细!$C$2:$U$190,19,0)</f>
        <v>0</v>
      </c>
      <c r="AV24" s="36">
        <f>ROUND(AR24/21.75/8*2*(K24+L24*3/2),2)+SUMIFS(加班费!H:H,加班费!D:D,C24)-VLOOKUP(C24,工资表明细!$C$2:$W$190,21,0)</f>
        <v>0</v>
      </c>
      <c r="AW24" s="36">
        <f t="shared" si="0"/>
        <v>0</v>
      </c>
      <c r="AX24" s="58">
        <f t="shared" si="1"/>
        <v>0</v>
      </c>
      <c r="AY24" s="58">
        <f t="shared" si="2"/>
        <v>1</v>
      </c>
      <c r="AZ24" s="58">
        <f t="shared" si="3"/>
        <v>1</v>
      </c>
      <c r="BA24" s="34" t="str">
        <f>VLOOKUP(C24,工资表明细!$C$2:$P$223,13,0)</f>
        <v>6214837852001662</v>
      </c>
      <c r="BB24" s="34" t="b">
        <f t="shared" si="4"/>
        <v>1</v>
      </c>
      <c r="BC24" s="58">
        <f t="shared" si="5"/>
        <v>0</v>
      </c>
    </row>
    <row r="25" spans="1:55">
      <c r="A25" s="142">
        <f t="shared" si="8"/>
        <v>23</v>
      </c>
      <c r="B25" s="143" t="s">
        <v>583</v>
      </c>
      <c r="C25" s="143" t="s">
        <v>204</v>
      </c>
      <c r="D25" s="143" t="s">
        <v>205</v>
      </c>
      <c r="E25" s="143" t="s">
        <v>101</v>
      </c>
      <c r="F25" s="143" t="s">
        <v>101</v>
      </c>
      <c r="G25" s="143" t="s">
        <v>65</v>
      </c>
      <c r="H25" s="143"/>
      <c r="I25" s="143"/>
      <c r="J25" s="143"/>
      <c r="K25" s="143">
        <v>0</v>
      </c>
      <c r="L25" s="143">
        <v>0</v>
      </c>
      <c r="M25" s="143"/>
      <c r="N25" s="143">
        <v>0</v>
      </c>
      <c r="O25" s="143">
        <v>0</v>
      </c>
      <c r="P25" s="143">
        <v>0</v>
      </c>
      <c r="Q25" s="143">
        <v>0</v>
      </c>
      <c r="R25" s="143">
        <v>0</v>
      </c>
      <c r="S25" s="143">
        <v>0</v>
      </c>
      <c r="T25" s="143">
        <v>0</v>
      </c>
      <c r="U25" s="143">
        <v>0</v>
      </c>
      <c r="V25" s="143">
        <v>0</v>
      </c>
      <c r="W25" s="143">
        <v>0</v>
      </c>
      <c r="X25" s="143">
        <v>0</v>
      </c>
      <c r="Y25" s="143">
        <v>0</v>
      </c>
      <c r="Z25" s="143"/>
      <c r="AA25" s="143">
        <v>0</v>
      </c>
      <c r="AB25" s="143">
        <v>0</v>
      </c>
      <c r="AC25" s="143">
        <v>0</v>
      </c>
      <c r="AD25" s="143">
        <v>0</v>
      </c>
      <c r="AE25" s="143">
        <v>0</v>
      </c>
      <c r="AF25" s="143">
        <v>0</v>
      </c>
      <c r="AG25" s="143">
        <v>0</v>
      </c>
      <c r="AH25" s="144" t="s">
        <v>207</v>
      </c>
      <c r="AI25" s="144" t="s">
        <v>208</v>
      </c>
      <c r="AJ25" s="144" t="s">
        <v>36</v>
      </c>
      <c r="AK25" s="144" t="s">
        <v>631</v>
      </c>
      <c r="AL25" s="144" t="s">
        <v>632</v>
      </c>
      <c r="AM25" s="144" t="s">
        <v>206</v>
      </c>
      <c r="AN25" s="144" t="s">
        <v>104</v>
      </c>
      <c r="AO25" s="144" t="s">
        <v>633</v>
      </c>
      <c r="AP25" s="144"/>
      <c r="AQ25" s="34"/>
      <c r="AR25" s="36">
        <f>VLOOKUP($C25,工资表明细!$C$2:$Q$190,14,0)</f>
        <v>36300</v>
      </c>
      <c r="AS25" s="36">
        <f>VLOOKUP($C25,工资表明细!$C$2:$Q$190,15,0)</f>
        <v>0</v>
      </c>
      <c r="AT25" s="36">
        <f>SUMIFS(其他补发!H:H,其他补发!B:B,C25)</f>
        <v>0</v>
      </c>
      <c r="AU25" s="36">
        <f>ROUND((AR25+AS25+AT25)/21.75*(H25+O25+P25*0.3+AA25),2)-VLOOKUP(C25,工资表明细!$C$2:$U$190,19,0)</f>
        <v>0</v>
      </c>
      <c r="AV25" s="36">
        <f>ROUND(AR25/21.75/8*2*(K25+L25*3/2),2)+SUMIFS(加班费!H:H,加班费!D:D,C25)-VLOOKUP(C25,工资表明细!$C$2:$W$190,21,0)</f>
        <v>0</v>
      </c>
      <c r="AW25" s="36">
        <f t="shared" si="0"/>
        <v>0</v>
      </c>
      <c r="AX25" s="58">
        <f t="shared" si="1"/>
        <v>0</v>
      </c>
      <c r="AY25" s="58">
        <f t="shared" si="2"/>
        <v>1</v>
      </c>
      <c r="AZ25" s="58">
        <f t="shared" si="3"/>
        <v>1</v>
      </c>
      <c r="BA25" s="34" t="str">
        <f>VLOOKUP(C25,工资表明细!$C$2:$P$223,13,0)</f>
        <v>6226090201418122</v>
      </c>
      <c r="BB25" s="34" t="b">
        <f t="shared" si="4"/>
        <v>1</v>
      </c>
      <c r="BC25" s="58">
        <f t="shared" si="5"/>
        <v>0</v>
      </c>
    </row>
    <row r="26" spans="1:55">
      <c r="A26" s="142">
        <f t="shared" si="8"/>
        <v>24</v>
      </c>
      <c r="B26" s="143" t="s">
        <v>583</v>
      </c>
      <c r="C26" s="143" t="s">
        <v>228</v>
      </c>
      <c r="D26" s="143" t="s">
        <v>229</v>
      </c>
      <c r="E26" s="143" t="s">
        <v>101</v>
      </c>
      <c r="F26" s="143" t="s">
        <v>101</v>
      </c>
      <c r="G26" s="143" t="s">
        <v>65</v>
      </c>
      <c r="H26" s="143"/>
      <c r="I26" s="143"/>
      <c r="J26" s="143"/>
      <c r="K26" s="143">
        <v>0</v>
      </c>
      <c r="L26" s="143">
        <v>0</v>
      </c>
      <c r="M26" s="143"/>
      <c r="N26" s="143">
        <v>0</v>
      </c>
      <c r="O26" s="143">
        <v>0</v>
      </c>
      <c r="P26" s="143">
        <v>0</v>
      </c>
      <c r="Q26" s="143">
        <v>0</v>
      </c>
      <c r="R26" s="143">
        <v>0</v>
      </c>
      <c r="S26" s="143">
        <v>0</v>
      </c>
      <c r="T26" s="143">
        <v>0</v>
      </c>
      <c r="U26" s="143">
        <v>0</v>
      </c>
      <c r="V26" s="143">
        <v>0</v>
      </c>
      <c r="W26" s="143">
        <v>0</v>
      </c>
      <c r="X26" s="143">
        <v>0</v>
      </c>
      <c r="Y26" s="143">
        <v>0</v>
      </c>
      <c r="Z26" s="143"/>
      <c r="AA26" s="143">
        <v>0</v>
      </c>
      <c r="AB26" s="143">
        <v>0</v>
      </c>
      <c r="AC26" s="143">
        <v>0</v>
      </c>
      <c r="AD26" s="143">
        <v>0</v>
      </c>
      <c r="AE26" s="143">
        <v>0</v>
      </c>
      <c r="AF26" s="143">
        <v>0</v>
      </c>
      <c r="AG26" s="143">
        <v>0</v>
      </c>
      <c r="AH26" s="144" t="s">
        <v>231</v>
      </c>
      <c r="AI26" s="144" t="s">
        <v>232</v>
      </c>
      <c r="AJ26" s="144" t="s">
        <v>38</v>
      </c>
      <c r="AK26" s="144" t="s">
        <v>634</v>
      </c>
      <c r="AL26" s="144" t="s">
        <v>635</v>
      </c>
      <c r="AM26" s="144" t="s">
        <v>230</v>
      </c>
      <c r="AN26" s="144" t="s">
        <v>104</v>
      </c>
      <c r="AO26" s="144" t="s">
        <v>636</v>
      </c>
      <c r="AP26" s="144"/>
      <c r="AQ26" s="34"/>
      <c r="AR26" s="36">
        <f>VLOOKUP($C26,工资表明细!$C$2:$Q$190,14,0)</f>
        <v>25000</v>
      </c>
      <c r="AS26" s="36">
        <f>VLOOKUP($C26,工资表明细!$C$2:$Q$190,15,0)</f>
        <v>0</v>
      </c>
      <c r="AT26" s="36">
        <f>SUMIFS(其他补发!H:H,其他补发!B:B,C26)</f>
        <v>0</v>
      </c>
      <c r="AU26" s="36">
        <f>ROUND((AR26+AS26+AT26)/21.75*(H26+O26+P26*0.3+AA26),2)-VLOOKUP(C26,工资表明细!$C$2:$U$190,19,0)</f>
        <v>0</v>
      </c>
      <c r="AV26" s="36">
        <f>ROUND(AR26/21.75/8*2*(K26+L26*3/2),2)+SUMIFS(加班费!H:H,加班费!D:D,C26)-VLOOKUP(C26,工资表明细!$C$2:$W$190,21,0)</f>
        <v>0</v>
      </c>
      <c r="AW26" s="36">
        <f t="shared" si="0"/>
        <v>0</v>
      </c>
      <c r="AX26" s="58">
        <f t="shared" si="1"/>
        <v>0</v>
      </c>
      <c r="AY26" s="58">
        <f t="shared" si="2"/>
        <v>1</v>
      </c>
      <c r="AZ26" s="58">
        <f t="shared" si="3"/>
        <v>1</v>
      </c>
      <c r="BA26" s="34" t="str">
        <f>VLOOKUP(C26,工资表明细!$C$2:$P$223,13,0)</f>
        <v>6214830277747522</v>
      </c>
      <c r="BB26" s="34" t="b">
        <f t="shared" si="4"/>
        <v>1</v>
      </c>
      <c r="BC26" s="58">
        <f t="shared" si="5"/>
        <v>0</v>
      </c>
    </row>
    <row r="27" spans="1:55">
      <c r="A27" s="142">
        <f t="shared" si="8"/>
        <v>25</v>
      </c>
      <c r="B27" s="143" t="s">
        <v>583</v>
      </c>
      <c r="C27" s="143" t="s">
        <v>218</v>
      </c>
      <c r="D27" s="143" t="s">
        <v>219</v>
      </c>
      <c r="E27" s="143" t="s">
        <v>101</v>
      </c>
      <c r="F27" s="143" t="s">
        <v>101</v>
      </c>
      <c r="G27" s="143" t="s">
        <v>65</v>
      </c>
      <c r="H27" s="143"/>
      <c r="I27" s="143"/>
      <c r="J27" s="143"/>
      <c r="K27" s="143">
        <v>0</v>
      </c>
      <c r="L27" s="143">
        <v>0</v>
      </c>
      <c r="M27" s="143"/>
      <c r="N27" s="143">
        <v>0</v>
      </c>
      <c r="O27" s="143">
        <v>0</v>
      </c>
      <c r="P27" s="143">
        <v>0</v>
      </c>
      <c r="Q27" s="143">
        <v>0</v>
      </c>
      <c r="R27" s="143">
        <v>0</v>
      </c>
      <c r="S27" s="143">
        <v>0</v>
      </c>
      <c r="T27" s="143">
        <v>0</v>
      </c>
      <c r="U27" s="143">
        <v>0</v>
      </c>
      <c r="V27" s="143">
        <v>0</v>
      </c>
      <c r="W27" s="143">
        <v>0</v>
      </c>
      <c r="X27" s="143">
        <v>0</v>
      </c>
      <c r="Y27" s="143">
        <v>0</v>
      </c>
      <c r="Z27" s="143"/>
      <c r="AA27" s="143">
        <v>0</v>
      </c>
      <c r="AB27" s="143">
        <v>0</v>
      </c>
      <c r="AC27" s="143">
        <v>0</v>
      </c>
      <c r="AD27" s="143">
        <v>0</v>
      </c>
      <c r="AE27" s="143">
        <v>0</v>
      </c>
      <c r="AF27" s="143">
        <v>0</v>
      </c>
      <c r="AG27" s="143">
        <v>0</v>
      </c>
      <c r="AH27" s="144" t="s">
        <v>221</v>
      </c>
      <c r="AI27" s="144" t="s">
        <v>222</v>
      </c>
      <c r="AJ27" s="144" t="s">
        <v>36</v>
      </c>
      <c r="AK27" s="144" t="s">
        <v>637</v>
      </c>
      <c r="AL27" s="144" t="s">
        <v>638</v>
      </c>
      <c r="AM27" s="144" t="s">
        <v>220</v>
      </c>
      <c r="AN27" s="144" t="s">
        <v>104</v>
      </c>
      <c r="AO27" s="144" t="s">
        <v>639</v>
      </c>
      <c r="AP27" s="144"/>
      <c r="AQ27" s="34"/>
      <c r="AR27" s="36">
        <f>VLOOKUP($C27,工资表明细!$C$2:$Q$190,14,0)</f>
        <v>30000</v>
      </c>
      <c r="AS27" s="36">
        <f>VLOOKUP($C27,工资表明细!$C$2:$Q$190,15,0)</f>
        <v>0</v>
      </c>
      <c r="AT27" s="36">
        <f>SUMIFS(其他补发!H:H,其他补发!B:B,C27)</f>
        <v>0</v>
      </c>
      <c r="AU27" s="36">
        <f>ROUND((AR27+AS27+AT27)/21.75*(H27+O27+P27*0.3+AA27),2)-VLOOKUP(C27,工资表明细!$C$2:$U$190,19,0)</f>
        <v>0</v>
      </c>
      <c r="AV27" s="36">
        <f>ROUND(AR27/21.75/8*2*(K27+L27*3/2),2)+SUMIFS(加班费!H:H,加班费!D:D,C27)-VLOOKUP(C27,工资表明细!$C$2:$W$190,21,0)</f>
        <v>0</v>
      </c>
      <c r="AW27" s="36">
        <f t="shared" si="0"/>
        <v>0</v>
      </c>
      <c r="AX27" s="58">
        <f t="shared" si="1"/>
        <v>0</v>
      </c>
      <c r="AY27" s="58">
        <f t="shared" si="2"/>
        <v>1</v>
      </c>
      <c r="AZ27" s="58">
        <f t="shared" si="3"/>
        <v>1</v>
      </c>
      <c r="BA27" s="34" t="str">
        <f>VLOOKUP(C27,工资表明细!$C$2:$P$223,13,0)</f>
        <v>6214866559216315</v>
      </c>
      <c r="BB27" s="34" t="b">
        <f t="shared" si="4"/>
        <v>1</v>
      </c>
      <c r="BC27" s="58">
        <f t="shared" si="5"/>
        <v>0</v>
      </c>
    </row>
    <row r="28" spans="1:55">
      <c r="A28" s="142">
        <f t="shared" si="8"/>
        <v>26</v>
      </c>
      <c r="B28" s="143" t="s">
        <v>583</v>
      </c>
      <c r="C28" s="143" t="s">
        <v>214</v>
      </c>
      <c r="D28" s="143" t="s">
        <v>215</v>
      </c>
      <c r="E28" s="143" t="s">
        <v>101</v>
      </c>
      <c r="F28" s="143" t="s">
        <v>101</v>
      </c>
      <c r="G28" s="143" t="s">
        <v>67</v>
      </c>
      <c r="H28" s="143"/>
      <c r="I28" s="143"/>
      <c r="J28" s="143"/>
      <c r="K28" s="143">
        <v>0</v>
      </c>
      <c r="L28" s="143">
        <v>0</v>
      </c>
      <c r="M28" s="143"/>
      <c r="N28" s="143">
        <v>0</v>
      </c>
      <c r="O28" s="143">
        <v>0</v>
      </c>
      <c r="P28" s="143">
        <v>0</v>
      </c>
      <c r="Q28" s="143">
        <v>0</v>
      </c>
      <c r="R28" s="143">
        <v>0</v>
      </c>
      <c r="S28" s="143">
        <v>0</v>
      </c>
      <c r="T28" s="143">
        <v>0</v>
      </c>
      <c r="U28" s="143">
        <v>0</v>
      </c>
      <c r="V28" s="143">
        <v>0</v>
      </c>
      <c r="W28" s="143">
        <v>0</v>
      </c>
      <c r="X28" s="143">
        <v>0</v>
      </c>
      <c r="Y28" s="143">
        <v>0</v>
      </c>
      <c r="Z28" s="143"/>
      <c r="AA28" s="143">
        <v>0</v>
      </c>
      <c r="AB28" s="143">
        <v>0</v>
      </c>
      <c r="AC28" s="143">
        <v>0</v>
      </c>
      <c r="AD28" s="143">
        <v>0</v>
      </c>
      <c r="AE28" s="143">
        <v>0</v>
      </c>
      <c r="AF28" s="143">
        <v>0</v>
      </c>
      <c r="AG28" s="143">
        <v>0</v>
      </c>
      <c r="AH28" s="144" t="s">
        <v>216</v>
      </c>
      <c r="AI28" s="144" t="s">
        <v>217</v>
      </c>
      <c r="AJ28" s="144" t="s">
        <v>36</v>
      </c>
      <c r="AK28" s="144" t="s">
        <v>640</v>
      </c>
      <c r="AL28" s="144" t="s">
        <v>641</v>
      </c>
      <c r="AM28" s="144" t="s">
        <v>177</v>
      </c>
      <c r="AN28" s="144" t="s">
        <v>104</v>
      </c>
      <c r="AO28" s="144" t="s">
        <v>639</v>
      </c>
      <c r="AP28" s="144"/>
      <c r="AQ28" s="34"/>
      <c r="AR28" s="36">
        <f>VLOOKUP($C28,工资表明细!$C$2:$Q$190,14,0)</f>
        <v>20000</v>
      </c>
      <c r="AS28" s="36">
        <f>VLOOKUP($C28,工资表明细!$C$2:$Q$190,15,0)</f>
        <v>0</v>
      </c>
      <c r="AT28" s="36">
        <f>SUMIFS(其他补发!H:H,其他补发!B:B,C28)</f>
        <v>0</v>
      </c>
      <c r="AU28" s="36">
        <f>ROUND((AR28+AS28+AT28)/21.75*(H28+O28+P28*0.3+AA28),2)-VLOOKUP(C28,工资表明细!$C$2:$U$190,19,0)</f>
        <v>0</v>
      </c>
      <c r="AV28" s="36">
        <f>ROUND(AR28/21.75/8*2*(K28+L28*3/2),2)+SUMIFS(加班费!H:H,加班费!D:D,C28)-VLOOKUP(C28,工资表明细!$C$2:$W$190,21,0)</f>
        <v>0</v>
      </c>
      <c r="AW28" s="36">
        <f t="shared" si="0"/>
        <v>0</v>
      </c>
      <c r="AX28" s="58">
        <f t="shared" si="1"/>
        <v>0</v>
      </c>
      <c r="AY28" s="58">
        <f t="shared" si="2"/>
        <v>1</v>
      </c>
      <c r="AZ28" s="58">
        <f t="shared" si="3"/>
        <v>1</v>
      </c>
      <c r="BA28" s="34" t="str">
        <f>VLOOKUP(C28,工资表明细!$C$2:$P$223,13,0)</f>
        <v>6212264000018455804</v>
      </c>
      <c r="BB28" s="34" t="b">
        <f t="shared" si="4"/>
        <v>1</v>
      </c>
      <c r="BC28" s="58">
        <f t="shared" si="5"/>
        <v>0</v>
      </c>
    </row>
    <row r="29" spans="1:55">
      <c r="A29" s="142">
        <f t="shared" si="8"/>
        <v>27</v>
      </c>
      <c r="B29" s="143" t="s">
        <v>583</v>
      </c>
      <c r="C29" s="143" t="s">
        <v>242</v>
      </c>
      <c r="D29" s="143" t="s">
        <v>243</v>
      </c>
      <c r="E29" s="143" t="s">
        <v>101</v>
      </c>
      <c r="F29" s="143" t="s">
        <v>101</v>
      </c>
      <c r="G29" s="143" t="s">
        <v>65</v>
      </c>
      <c r="H29" s="143"/>
      <c r="I29" s="143"/>
      <c r="J29" s="143"/>
      <c r="K29" s="143">
        <v>0</v>
      </c>
      <c r="L29" s="143">
        <v>0</v>
      </c>
      <c r="M29" s="143"/>
      <c r="N29" s="143">
        <v>0</v>
      </c>
      <c r="O29" s="143">
        <v>0</v>
      </c>
      <c r="P29" s="143">
        <v>0</v>
      </c>
      <c r="Q29" s="143">
        <v>0</v>
      </c>
      <c r="R29" s="143">
        <v>0</v>
      </c>
      <c r="S29" s="143">
        <v>0</v>
      </c>
      <c r="T29" s="143">
        <v>0</v>
      </c>
      <c r="U29" s="143">
        <v>0</v>
      </c>
      <c r="V29" s="143">
        <v>0</v>
      </c>
      <c r="W29" s="143">
        <v>0</v>
      </c>
      <c r="X29" s="143">
        <v>0</v>
      </c>
      <c r="Y29" s="143">
        <v>0</v>
      </c>
      <c r="Z29" s="143"/>
      <c r="AA29" s="143">
        <v>0</v>
      </c>
      <c r="AB29" s="143">
        <v>0</v>
      </c>
      <c r="AC29" s="143">
        <v>0</v>
      </c>
      <c r="AD29" s="143">
        <v>0</v>
      </c>
      <c r="AE29" s="143">
        <v>0</v>
      </c>
      <c r="AF29" s="143">
        <v>0</v>
      </c>
      <c r="AG29" s="143">
        <v>0</v>
      </c>
      <c r="AH29" s="144" t="s">
        <v>245</v>
      </c>
      <c r="AI29" s="144" t="s">
        <v>246</v>
      </c>
      <c r="AJ29" s="144" t="s">
        <v>36</v>
      </c>
      <c r="AK29" s="144" t="s">
        <v>642</v>
      </c>
      <c r="AL29" s="144" t="s">
        <v>643</v>
      </c>
      <c r="AM29" s="144" t="s">
        <v>244</v>
      </c>
      <c r="AN29" s="144" t="s">
        <v>104</v>
      </c>
      <c r="AO29" s="144" t="s">
        <v>636</v>
      </c>
      <c r="AP29" s="144"/>
      <c r="AQ29" s="34"/>
      <c r="AR29" s="36">
        <f>VLOOKUP($C29,工资表明细!$C$2:$Q$190,14,0)</f>
        <v>24500</v>
      </c>
      <c r="AS29" s="36">
        <f>VLOOKUP($C29,工资表明细!$C$2:$Q$190,15,0)</f>
        <v>0</v>
      </c>
      <c r="AT29" s="36">
        <f>SUMIFS(其他补发!H:H,其他补发!B:B,C29)</f>
        <v>0</v>
      </c>
      <c r="AU29" s="36">
        <f>ROUND((AR29+AS29+AT29)/21.75*(H29+O29+P29*0.3+AA29),2)-VLOOKUP(C29,工资表明细!$C$2:$U$190,19,0)</f>
        <v>0</v>
      </c>
      <c r="AV29" s="36">
        <f>ROUND(AR29/21.75/8*2*(K29+L29*3/2),2)+SUMIFS(加班费!H:H,加班费!D:D,C29)-VLOOKUP(C29,工资表明细!$C$2:$W$190,21,0)</f>
        <v>0</v>
      </c>
      <c r="AW29" s="36">
        <f t="shared" si="0"/>
        <v>0</v>
      </c>
      <c r="AX29" s="58">
        <f t="shared" si="1"/>
        <v>0</v>
      </c>
      <c r="AY29" s="58">
        <f t="shared" si="2"/>
        <v>1</v>
      </c>
      <c r="AZ29" s="58">
        <f t="shared" si="3"/>
        <v>1</v>
      </c>
      <c r="BA29" s="34" t="str">
        <f>VLOOKUP(C29,工资表明细!$C$2:$P$223,13,0)</f>
        <v>6228480096759954777</v>
      </c>
      <c r="BB29" s="34" t="b">
        <f t="shared" si="4"/>
        <v>1</v>
      </c>
      <c r="BC29" s="58">
        <f t="shared" si="5"/>
        <v>0</v>
      </c>
    </row>
    <row r="30" spans="1:55">
      <c r="A30" s="142">
        <f t="shared" si="8"/>
        <v>28</v>
      </c>
      <c r="B30" s="143" t="s">
        <v>583</v>
      </c>
      <c r="C30" s="143" t="s">
        <v>238</v>
      </c>
      <c r="D30" s="143" t="s">
        <v>239</v>
      </c>
      <c r="E30" s="143" t="s">
        <v>101</v>
      </c>
      <c r="F30" s="143" t="s">
        <v>101</v>
      </c>
      <c r="G30" s="143" t="s">
        <v>65</v>
      </c>
      <c r="H30" s="143"/>
      <c r="I30" s="143"/>
      <c r="J30" s="143"/>
      <c r="K30" s="143">
        <v>0</v>
      </c>
      <c r="L30" s="143">
        <v>0</v>
      </c>
      <c r="M30" s="143"/>
      <c r="N30" s="143">
        <v>0</v>
      </c>
      <c r="O30" s="143">
        <v>0</v>
      </c>
      <c r="P30" s="143">
        <v>0</v>
      </c>
      <c r="Q30" s="143">
        <v>0</v>
      </c>
      <c r="R30" s="143">
        <v>0</v>
      </c>
      <c r="S30" s="143">
        <v>0</v>
      </c>
      <c r="T30" s="143">
        <v>0</v>
      </c>
      <c r="U30" s="143">
        <v>0</v>
      </c>
      <c r="V30" s="143">
        <v>0</v>
      </c>
      <c r="W30" s="143">
        <v>0</v>
      </c>
      <c r="X30" s="143">
        <v>0</v>
      </c>
      <c r="Y30" s="143">
        <v>0</v>
      </c>
      <c r="Z30" s="143"/>
      <c r="AA30" s="143">
        <v>0</v>
      </c>
      <c r="AB30" s="143">
        <v>0</v>
      </c>
      <c r="AC30" s="143">
        <v>0</v>
      </c>
      <c r="AD30" s="143">
        <v>0</v>
      </c>
      <c r="AE30" s="143">
        <v>0</v>
      </c>
      <c r="AF30" s="143">
        <v>0</v>
      </c>
      <c r="AG30" s="143">
        <v>0</v>
      </c>
      <c r="AH30" s="144" t="s">
        <v>240</v>
      </c>
      <c r="AI30" s="144" t="s">
        <v>241</v>
      </c>
      <c r="AJ30" s="144" t="s">
        <v>36</v>
      </c>
      <c r="AK30" s="144" t="s">
        <v>644</v>
      </c>
      <c r="AL30" s="144" t="s">
        <v>645</v>
      </c>
      <c r="AM30" s="144" t="s">
        <v>115</v>
      </c>
      <c r="AN30" s="144" t="s">
        <v>104</v>
      </c>
      <c r="AO30" s="144" t="s">
        <v>636</v>
      </c>
      <c r="AP30" s="144"/>
      <c r="AQ30" s="34"/>
      <c r="AR30" s="36">
        <f>VLOOKUP($C30,工资表明细!$C$2:$Q$190,14,0)</f>
        <v>20000</v>
      </c>
      <c r="AS30" s="36">
        <f>VLOOKUP($C30,工资表明细!$C$2:$Q$190,15,0)</f>
        <v>0</v>
      </c>
      <c r="AT30" s="36">
        <f>SUMIFS(其他补发!H:H,其他补发!B:B,C30)</f>
        <v>0</v>
      </c>
      <c r="AU30" s="36">
        <f>ROUND((AR30+AS30+AT30)/21.75*(H30+O30+P30*0.3+AA30),2)-VLOOKUP(C30,工资表明细!$C$2:$U$190,19,0)</f>
        <v>0</v>
      </c>
      <c r="AV30" s="36">
        <f>ROUND(AR30/21.75/8*2*(K30+L30*3/2),2)+SUMIFS(加班费!H:H,加班费!D:D,C30)-VLOOKUP(C30,工资表明细!$C$2:$W$190,21,0)</f>
        <v>0</v>
      </c>
      <c r="AW30" s="36">
        <f t="shared" si="0"/>
        <v>0</v>
      </c>
      <c r="AX30" s="58">
        <f t="shared" si="1"/>
        <v>0</v>
      </c>
      <c r="AY30" s="58">
        <f t="shared" si="2"/>
        <v>1</v>
      </c>
      <c r="AZ30" s="58">
        <f t="shared" si="3"/>
        <v>1</v>
      </c>
      <c r="BA30" s="34" t="str">
        <f>VLOOKUP(C30,工资表明细!$C$2:$P$223,13,0)</f>
        <v>6214830709910375</v>
      </c>
      <c r="BB30" s="34" t="b">
        <f t="shared" si="4"/>
        <v>1</v>
      </c>
      <c r="BC30" s="58">
        <f t="shared" si="5"/>
        <v>0</v>
      </c>
    </row>
    <row r="31" spans="1:55">
      <c r="A31" s="142">
        <f t="shared" si="8"/>
        <v>29</v>
      </c>
      <c r="B31" s="143" t="s">
        <v>583</v>
      </c>
      <c r="C31" s="143" t="s">
        <v>233</v>
      </c>
      <c r="D31" s="143" t="s">
        <v>234</v>
      </c>
      <c r="E31" s="143" t="s">
        <v>101</v>
      </c>
      <c r="F31" s="143" t="s">
        <v>101</v>
      </c>
      <c r="G31" s="143" t="s">
        <v>69</v>
      </c>
      <c r="H31" s="143"/>
      <c r="I31" s="143"/>
      <c r="J31" s="143"/>
      <c r="K31" s="143">
        <v>0</v>
      </c>
      <c r="L31" s="143">
        <v>0</v>
      </c>
      <c r="M31" s="143"/>
      <c r="N31" s="143">
        <v>0</v>
      </c>
      <c r="O31" s="143">
        <v>0</v>
      </c>
      <c r="P31" s="143">
        <v>0</v>
      </c>
      <c r="Q31" s="143">
        <v>0</v>
      </c>
      <c r="R31" s="143">
        <v>0</v>
      </c>
      <c r="S31" s="143">
        <v>0</v>
      </c>
      <c r="T31" s="143">
        <v>0</v>
      </c>
      <c r="U31" s="143">
        <v>0</v>
      </c>
      <c r="V31" s="143">
        <v>0</v>
      </c>
      <c r="W31" s="143">
        <v>0</v>
      </c>
      <c r="X31" s="143">
        <v>0</v>
      </c>
      <c r="Y31" s="143">
        <v>0</v>
      </c>
      <c r="Z31" s="143"/>
      <c r="AA31" s="143">
        <v>0</v>
      </c>
      <c r="AB31" s="143">
        <v>0</v>
      </c>
      <c r="AC31" s="143">
        <v>0</v>
      </c>
      <c r="AD31" s="143">
        <v>0</v>
      </c>
      <c r="AE31" s="143">
        <v>0</v>
      </c>
      <c r="AF31" s="143">
        <v>0</v>
      </c>
      <c r="AG31" s="143">
        <v>0</v>
      </c>
      <c r="AH31" s="144" t="s">
        <v>236</v>
      </c>
      <c r="AI31" s="144" t="s">
        <v>237</v>
      </c>
      <c r="AJ31" s="144" t="s">
        <v>38</v>
      </c>
      <c r="AK31" s="144" t="s">
        <v>646</v>
      </c>
      <c r="AL31" s="144" t="s">
        <v>647</v>
      </c>
      <c r="AM31" s="144" t="s">
        <v>235</v>
      </c>
      <c r="AN31" s="144" t="s">
        <v>104</v>
      </c>
      <c r="AO31" s="144" t="s">
        <v>636</v>
      </c>
      <c r="AP31" s="144"/>
      <c r="AQ31" s="34"/>
      <c r="AR31" s="36">
        <f>VLOOKUP($C31,工资表明细!$C$2:$Q$190,14,0)</f>
        <v>36000</v>
      </c>
      <c r="AS31" s="36">
        <f>VLOOKUP($C31,工资表明细!$C$2:$Q$190,15,0)</f>
        <v>0</v>
      </c>
      <c r="AT31" s="36">
        <f>SUMIFS(其他补发!H:H,其他补发!B:B,C31)</f>
        <v>0</v>
      </c>
      <c r="AU31" s="36">
        <f>ROUND((AR31+AS31+AT31)/21.75*(H31+O31+P31*0.3+AA31),2)-VLOOKUP(C31,工资表明细!$C$2:$U$190,19,0)</f>
        <v>0</v>
      </c>
      <c r="AV31" s="36">
        <f>ROUND(AR31/21.75/8*2*(K31+L31*3/2),2)+SUMIFS(加班费!H:H,加班费!D:D,C31)-VLOOKUP(C31,工资表明细!$C$2:$W$190,21,0)</f>
        <v>0</v>
      </c>
      <c r="AW31" s="36">
        <f t="shared" si="0"/>
        <v>0</v>
      </c>
      <c r="AX31" s="58">
        <f t="shared" si="1"/>
        <v>0</v>
      </c>
      <c r="AY31" s="58">
        <f t="shared" si="2"/>
        <v>1</v>
      </c>
      <c r="AZ31" s="58">
        <f t="shared" si="3"/>
        <v>1</v>
      </c>
      <c r="BA31" s="34" t="str">
        <f>VLOOKUP(C31,工资表明细!$C$2:$P$223,13,0)</f>
        <v>6214867830305588</v>
      </c>
      <c r="BB31" s="34" t="b">
        <f t="shared" si="4"/>
        <v>1</v>
      </c>
      <c r="BC31" s="58">
        <f t="shared" si="5"/>
        <v>0</v>
      </c>
    </row>
    <row r="32" spans="1:55">
      <c r="A32" s="142">
        <f t="shared" si="8"/>
        <v>30</v>
      </c>
      <c r="B32" s="143" t="s">
        <v>583</v>
      </c>
      <c r="C32" s="143" t="s">
        <v>223</v>
      </c>
      <c r="D32" s="143" t="s">
        <v>224</v>
      </c>
      <c r="E32" s="143" t="s">
        <v>101</v>
      </c>
      <c r="F32" s="143" t="s">
        <v>101</v>
      </c>
      <c r="G32" s="143" t="s">
        <v>68</v>
      </c>
      <c r="H32" s="143"/>
      <c r="I32" s="143"/>
      <c r="J32" s="143"/>
      <c r="K32" s="143">
        <v>0</v>
      </c>
      <c r="L32" s="143">
        <v>0</v>
      </c>
      <c r="M32" s="143"/>
      <c r="N32" s="143">
        <v>0</v>
      </c>
      <c r="O32" s="143">
        <v>0</v>
      </c>
      <c r="P32" s="143">
        <v>0</v>
      </c>
      <c r="Q32" s="143">
        <v>0</v>
      </c>
      <c r="R32" s="143">
        <v>0</v>
      </c>
      <c r="S32" s="143">
        <v>0</v>
      </c>
      <c r="T32" s="143">
        <v>0</v>
      </c>
      <c r="U32" s="143">
        <v>0</v>
      </c>
      <c r="V32" s="143">
        <v>0</v>
      </c>
      <c r="W32" s="143">
        <v>0</v>
      </c>
      <c r="X32" s="143">
        <v>0</v>
      </c>
      <c r="Y32" s="143">
        <v>0</v>
      </c>
      <c r="Z32" s="143"/>
      <c r="AA32" s="143">
        <v>0</v>
      </c>
      <c r="AB32" s="143">
        <v>0</v>
      </c>
      <c r="AC32" s="143">
        <v>0</v>
      </c>
      <c r="AD32" s="143">
        <v>0</v>
      </c>
      <c r="AE32" s="143">
        <v>0</v>
      </c>
      <c r="AF32" s="143">
        <v>0</v>
      </c>
      <c r="AG32" s="143">
        <v>0</v>
      </c>
      <c r="AH32" s="144" t="s">
        <v>226</v>
      </c>
      <c r="AI32" s="144" t="s">
        <v>227</v>
      </c>
      <c r="AJ32" s="144" t="s">
        <v>38</v>
      </c>
      <c r="AK32" s="144" t="s">
        <v>648</v>
      </c>
      <c r="AL32" s="144" t="s">
        <v>649</v>
      </c>
      <c r="AM32" s="144" t="s">
        <v>225</v>
      </c>
      <c r="AN32" s="144" t="s">
        <v>104</v>
      </c>
      <c r="AO32" s="144" t="s">
        <v>650</v>
      </c>
      <c r="AP32" s="144"/>
      <c r="AQ32" s="34"/>
      <c r="AR32" s="36">
        <f>VLOOKUP($C32,工资表明细!$C$2:$Q$190,14,0)</f>
        <v>20000</v>
      </c>
      <c r="AS32" s="36">
        <f>VLOOKUP($C32,工资表明细!$C$2:$Q$190,15,0)</f>
        <v>0</v>
      </c>
      <c r="AT32" s="36">
        <f>SUMIFS(其他补发!H:H,其他补发!B:B,C32)</f>
        <v>0</v>
      </c>
      <c r="AU32" s="36">
        <f>ROUND((AR32+AS32+AT32)/21.75*(H32+O32+P32*0.3+AA32),2)-VLOOKUP(C32,工资表明细!$C$2:$U$190,19,0)</f>
        <v>0</v>
      </c>
      <c r="AV32" s="36">
        <f>ROUND(AR32/21.75/8*2*(K32+L32*3/2),2)+SUMIFS(加班费!H:H,加班费!D:D,C32)-VLOOKUP(C32,工资表明细!$C$2:$W$190,21,0)</f>
        <v>0</v>
      </c>
      <c r="AW32" s="36">
        <f t="shared" si="0"/>
        <v>0</v>
      </c>
      <c r="AX32" s="58">
        <f t="shared" si="1"/>
        <v>0</v>
      </c>
      <c r="AY32" s="58">
        <f t="shared" si="2"/>
        <v>1</v>
      </c>
      <c r="AZ32" s="58">
        <f t="shared" si="3"/>
        <v>1</v>
      </c>
      <c r="BA32" s="34" t="str">
        <f>VLOOKUP(C32,工资表明细!$C$2:$P$223,13,0)</f>
        <v>6214866556514589</v>
      </c>
      <c r="BB32" s="34" t="b">
        <f t="shared" si="4"/>
        <v>1</v>
      </c>
      <c r="BC32" s="58">
        <f t="shared" si="5"/>
        <v>0</v>
      </c>
    </row>
    <row r="33" spans="1:55">
      <c r="A33" s="142">
        <f t="shared" si="8"/>
        <v>31</v>
      </c>
      <c r="B33" s="143" t="s">
        <v>583</v>
      </c>
      <c r="C33" s="143" t="s">
        <v>247</v>
      </c>
      <c r="D33" s="143" t="s">
        <v>248</v>
      </c>
      <c r="E33" s="143" t="s">
        <v>101</v>
      </c>
      <c r="F33" s="143" t="s">
        <v>101</v>
      </c>
      <c r="G33" s="143" t="s">
        <v>68</v>
      </c>
      <c r="H33" s="143"/>
      <c r="I33" s="143"/>
      <c r="J33" s="143"/>
      <c r="K33" s="143">
        <v>0</v>
      </c>
      <c r="L33" s="143">
        <v>0</v>
      </c>
      <c r="M33" s="143"/>
      <c r="N33" s="143">
        <v>0</v>
      </c>
      <c r="O33" s="143">
        <v>0</v>
      </c>
      <c r="P33" s="143">
        <v>0</v>
      </c>
      <c r="Q33" s="143">
        <v>0</v>
      </c>
      <c r="R33" s="143">
        <v>0</v>
      </c>
      <c r="S33" s="143">
        <v>0</v>
      </c>
      <c r="T33" s="143">
        <v>0</v>
      </c>
      <c r="U33" s="143">
        <v>0</v>
      </c>
      <c r="V33" s="143">
        <v>0</v>
      </c>
      <c r="W33" s="143">
        <v>0</v>
      </c>
      <c r="X33" s="143">
        <v>0</v>
      </c>
      <c r="Y33" s="143">
        <v>0</v>
      </c>
      <c r="Z33" s="143"/>
      <c r="AA33" s="143">
        <v>0</v>
      </c>
      <c r="AB33" s="143">
        <v>0</v>
      </c>
      <c r="AC33" s="143">
        <v>0</v>
      </c>
      <c r="AD33" s="143">
        <v>0</v>
      </c>
      <c r="AE33" s="143">
        <v>0</v>
      </c>
      <c r="AF33" s="143">
        <v>0</v>
      </c>
      <c r="AG33" s="143">
        <v>0</v>
      </c>
      <c r="AH33" s="144" t="s">
        <v>250</v>
      </c>
      <c r="AI33" s="144" t="s">
        <v>251</v>
      </c>
      <c r="AJ33" s="144" t="s">
        <v>38</v>
      </c>
      <c r="AK33" s="144" t="s">
        <v>651</v>
      </c>
      <c r="AL33" s="144" t="s">
        <v>652</v>
      </c>
      <c r="AM33" s="144" t="s">
        <v>249</v>
      </c>
      <c r="AN33" s="144" t="s">
        <v>104</v>
      </c>
      <c r="AO33" s="144" t="s">
        <v>653</v>
      </c>
      <c r="AP33" s="144"/>
      <c r="AQ33" s="34"/>
      <c r="AR33" s="36">
        <f>VLOOKUP($C33,工资表明细!$C$2:$Q$190,14,0)</f>
        <v>9000</v>
      </c>
      <c r="AS33" s="36">
        <f>VLOOKUP($C33,工资表明细!$C$2:$Q$190,15,0)</f>
        <v>0</v>
      </c>
      <c r="AT33" s="36">
        <f>SUMIFS(其他补发!H:H,其他补发!B:B,C33)</f>
        <v>0</v>
      </c>
      <c r="AU33" s="36">
        <f>ROUND((AR33+AS33+AT33)/21.75*(H33+O33+P33*0.3+AA33),2)-VLOOKUP(C33,工资表明细!$C$2:$U$190,19,0)</f>
        <v>0</v>
      </c>
      <c r="AV33" s="36">
        <f>ROUND(AR33/21.75/8*2*(K33+L33*3/2),2)+SUMIFS(加班费!H:H,加班费!D:D,C33)-VLOOKUP(C33,工资表明细!$C$2:$W$190,21,0)</f>
        <v>0</v>
      </c>
      <c r="AW33" s="36">
        <f t="shared" si="0"/>
        <v>0</v>
      </c>
      <c r="AX33" s="58">
        <f t="shared" si="1"/>
        <v>0</v>
      </c>
      <c r="AY33" s="58">
        <f t="shared" si="2"/>
        <v>1</v>
      </c>
      <c r="AZ33" s="58">
        <f t="shared" si="3"/>
        <v>1</v>
      </c>
      <c r="BA33" s="34" t="str">
        <f>VLOOKUP(C33,工资表明细!$C$2:$P$223,13,0)</f>
        <v>6214837418668509</v>
      </c>
      <c r="BB33" s="34" t="b">
        <f t="shared" si="4"/>
        <v>1</v>
      </c>
      <c r="BC33" s="58">
        <f t="shared" si="5"/>
        <v>0</v>
      </c>
    </row>
    <row r="34" spans="1:55">
      <c r="A34" s="142">
        <f t="shared" ref="A34:A43" si="9">ROW()-2</f>
        <v>32</v>
      </c>
      <c r="B34" s="143" t="s">
        <v>583</v>
      </c>
      <c r="C34" s="143" t="s">
        <v>252</v>
      </c>
      <c r="D34" s="143" t="s">
        <v>253</v>
      </c>
      <c r="E34" s="143" t="s">
        <v>101</v>
      </c>
      <c r="F34" s="143" t="s">
        <v>101</v>
      </c>
      <c r="G34" s="143" t="s">
        <v>65</v>
      </c>
      <c r="H34" s="143"/>
      <c r="I34" s="143"/>
      <c r="J34" s="143"/>
      <c r="K34" s="143">
        <v>0</v>
      </c>
      <c r="L34" s="143">
        <v>0</v>
      </c>
      <c r="M34" s="143"/>
      <c r="N34" s="143">
        <v>0</v>
      </c>
      <c r="O34" s="143">
        <v>0</v>
      </c>
      <c r="P34" s="143">
        <v>0</v>
      </c>
      <c r="Q34" s="143">
        <v>0</v>
      </c>
      <c r="R34" s="143">
        <v>0</v>
      </c>
      <c r="S34" s="143">
        <v>0</v>
      </c>
      <c r="T34" s="143">
        <v>0</v>
      </c>
      <c r="U34" s="143">
        <v>0</v>
      </c>
      <c r="V34" s="143">
        <v>0</v>
      </c>
      <c r="W34" s="143">
        <v>0</v>
      </c>
      <c r="X34" s="143">
        <v>0</v>
      </c>
      <c r="Y34" s="143">
        <v>0</v>
      </c>
      <c r="Z34" s="143"/>
      <c r="AA34" s="143">
        <v>0</v>
      </c>
      <c r="AB34" s="143">
        <v>0</v>
      </c>
      <c r="AC34" s="143">
        <v>0</v>
      </c>
      <c r="AD34" s="143">
        <v>0</v>
      </c>
      <c r="AE34" s="143">
        <v>0</v>
      </c>
      <c r="AF34" s="143">
        <v>0</v>
      </c>
      <c r="AG34" s="143">
        <v>0</v>
      </c>
      <c r="AH34" s="144" t="s">
        <v>255</v>
      </c>
      <c r="AI34" s="144" t="s">
        <v>256</v>
      </c>
      <c r="AJ34" s="144" t="s">
        <v>36</v>
      </c>
      <c r="AK34" s="144" t="s">
        <v>654</v>
      </c>
      <c r="AL34" s="144" t="s">
        <v>655</v>
      </c>
      <c r="AM34" s="144" t="s">
        <v>254</v>
      </c>
      <c r="AN34" s="144" t="s">
        <v>104</v>
      </c>
      <c r="AO34" s="144" t="s">
        <v>656</v>
      </c>
      <c r="AP34" s="144"/>
      <c r="AQ34" s="34"/>
      <c r="AR34" s="36">
        <f>VLOOKUP($C34,工资表明细!$C$2:$Q$190,14,0)</f>
        <v>20000</v>
      </c>
      <c r="AS34" s="36">
        <f>VLOOKUP($C34,工资表明细!$C$2:$Q$190,15,0)</f>
        <v>0</v>
      </c>
      <c r="AT34" s="36">
        <f>SUMIFS(其他补发!H:H,其他补发!B:B,C34)</f>
        <v>0</v>
      </c>
      <c r="AU34" s="36">
        <f>ROUND((AR34+AS34+AT34)/21.75*(H34+O34+P34*0.3+AA34),2)-VLOOKUP(C34,工资表明细!$C$2:$U$190,19,0)</f>
        <v>0</v>
      </c>
      <c r="AV34" s="36">
        <f>ROUND(AR34/21.75/8*2*(K34+L34*3/2),2)+SUMIFS(加班费!H:H,加班费!D:D,C34)-VLOOKUP(C34,工资表明细!$C$2:$W$190,21,0)</f>
        <v>0</v>
      </c>
      <c r="AW34" s="36">
        <f t="shared" si="0"/>
        <v>0</v>
      </c>
      <c r="AX34" s="58">
        <f t="shared" si="1"/>
        <v>0</v>
      </c>
      <c r="AY34" s="58">
        <f t="shared" si="2"/>
        <v>1</v>
      </c>
      <c r="AZ34" s="58">
        <f t="shared" si="3"/>
        <v>1</v>
      </c>
      <c r="BA34" s="34" t="str">
        <f>VLOOKUP(C34,工资表明细!$C$2:$P$223,13,0)</f>
        <v>6214857553393838</v>
      </c>
      <c r="BB34" s="34" t="b">
        <f t="shared" si="4"/>
        <v>1</v>
      </c>
      <c r="BC34" s="58">
        <f t="shared" si="5"/>
        <v>0</v>
      </c>
    </row>
    <row r="35" spans="1:55">
      <c r="A35" s="142">
        <f t="shared" si="9"/>
        <v>33</v>
      </c>
      <c r="B35" s="143" t="s">
        <v>583</v>
      </c>
      <c r="C35" s="143" t="s">
        <v>262</v>
      </c>
      <c r="D35" s="143" t="s">
        <v>263</v>
      </c>
      <c r="E35" s="143" t="s">
        <v>101</v>
      </c>
      <c r="F35" s="143" t="s">
        <v>101</v>
      </c>
      <c r="G35" s="143" t="s">
        <v>65</v>
      </c>
      <c r="H35" s="143"/>
      <c r="I35" s="143"/>
      <c r="J35" s="143"/>
      <c r="K35" s="143">
        <v>0</v>
      </c>
      <c r="L35" s="143">
        <v>0</v>
      </c>
      <c r="M35" s="143"/>
      <c r="N35" s="143">
        <v>0</v>
      </c>
      <c r="O35" s="143">
        <v>0</v>
      </c>
      <c r="P35" s="143">
        <v>0</v>
      </c>
      <c r="Q35" s="143">
        <v>0</v>
      </c>
      <c r="R35" s="143">
        <v>0</v>
      </c>
      <c r="S35" s="143">
        <v>0</v>
      </c>
      <c r="T35" s="143">
        <v>0</v>
      </c>
      <c r="U35" s="143">
        <v>0</v>
      </c>
      <c r="V35" s="143">
        <v>0</v>
      </c>
      <c r="W35" s="143">
        <v>0</v>
      </c>
      <c r="X35" s="143">
        <v>0</v>
      </c>
      <c r="Y35" s="143">
        <v>0</v>
      </c>
      <c r="Z35" s="143"/>
      <c r="AA35" s="143">
        <v>0</v>
      </c>
      <c r="AB35" s="143">
        <v>0</v>
      </c>
      <c r="AC35" s="143">
        <v>0</v>
      </c>
      <c r="AD35" s="143">
        <v>0</v>
      </c>
      <c r="AE35" s="143">
        <v>0</v>
      </c>
      <c r="AF35" s="143">
        <v>0</v>
      </c>
      <c r="AG35" s="143">
        <v>0</v>
      </c>
      <c r="AH35" s="144" t="s">
        <v>265</v>
      </c>
      <c r="AI35" s="144" t="s">
        <v>266</v>
      </c>
      <c r="AJ35" s="144" t="s">
        <v>36</v>
      </c>
      <c r="AK35" s="144" t="s">
        <v>657</v>
      </c>
      <c r="AL35" s="144" t="s">
        <v>658</v>
      </c>
      <c r="AM35" s="144" t="s">
        <v>264</v>
      </c>
      <c r="AN35" s="144" t="s">
        <v>104</v>
      </c>
      <c r="AO35" s="144" t="s">
        <v>659</v>
      </c>
      <c r="AP35" s="144"/>
      <c r="AQ35" s="34"/>
      <c r="AR35" s="36">
        <f>VLOOKUP($C35,工资表明细!$C$2:$Q$190,14,0)</f>
        <v>45000</v>
      </c>
      <c r="AS35" s="36">
        <f>VLOOKUP($C35,工资表明细!$C$2:$Q$190,15,0)</f>
        <v>0</v>
      </c>
      <c r="AT35" s="36">
        <f>SUMIFS(其他补发!H:H,其他补发!B:B,C35)</f>
        <v>0</v>
      </c>
      <c r="AU35" s="36">
        <f>ROUND((AR35+AS35+AT35)/21.75*(H35+O35+P35*0.3+AA35),2)-VLOOKUP(C35,工资表明细!$C$2:$U$190,19,0)</f>
        <v>0</v>
      </c>
      <c r="AV35" s="36">
        <f>ROUND(AR35/21.75/8*2*(K35+L35*3/2),2)+SUMIFS(加班费!H:H,加班费!D:D,C35)-VLOOKUP(C35,工资表明细!$C$2:$W$190,21,0)</f>
        <v>0</v>
      </c>
      <c r="AW35" s="36">
        <f t="shared" si="0"/>
        <v>0</v>
      </c>
      <c r="AX35" s="58">
        <f t="shared" si="1"/>
        <v>0</v>
      </c>
      <c r="AY35" s="58">
        <f t="shared" si="2"/>
        <v>1</v>
      </c>
      <c r="AZ35" s="58">
        <f t="shared" si="3"/>
        <v>1</v>
      </c>
      <c r="BA35" s="34" t="str">
        <f>VLOOKUP(C35,工资表明细!$C$2:$P$223,13,0)</f>
        <v>6214830125178995</v>
      </c>
      <c r="BB35" s="34" t="b">
        <f t="shared" si="4"/>
        <v>1</v>
      </c>
      <c r="BC35" s="58">
        <f t="shared" si="5"/>
        <v>0</v>
      </c>
    </row>
    <row r="36" spans="1:55">
      <c r="A36" s="142">
        <f t="shared" si="9"/>
        <v>34</v>
      </c>
      <c r="B36" s="143" t="s">
        <v>583</v>
      </c>
      <c r="C36" s="143" t="s">
        <v>267</v>
      </c>
      <c r="D36" s="143" t="s">
        <v>268</v>
      </c>
      <c r="E36" s="143" t="s">
        <v>101</v>
      </c>
      <c r="F36" s="143" t="s">
        <v>101</v>
      </c>
      <c r="G36" s="143" t="s">
        <v>69</v>
      </c>
      <c r="H36" s="143"/>
      <c r="I36" s="143"/>
      <c r="J36" s="143"/>
      <c r="K36" s="143">
        <v>0</v>
      </c>
      <c r="L36" s="143">
        <v>0</v>
      </c>
      <c r="M36" s="143"/>
      <c r="N36" s="143">
        <v>0</v>
      </c>
      <c r="O36" s="143">
        <v>0</v>
      </c>
      <c r="P36" s="143">
        <v>0</v>
      </c>
      <c r="Q36" s="143">
        <v>0</v>
      </c>
      <c r="R36" s="143">
        <v>0</v>
      </c>
      <c r="S36" s="143">
        <v>0</v>
      </c>
      <c r="T36" s="143">
        <v>0</v>
      </c>
      <c r="U36" s="143">
        <v>0</v>
      </c>
      <c r="V36" s="143">
        <v>0</v>
      </c>
      <c r="W36" s="143">
        <v>0</v>
      </c>
      <c r="X36" s="143">
        <v>0</v>
      </c>
      <c r="Y36" s="143">
        <v>0</v>
      </c>
      <c r="Z36" s="143"/>
      <c r="AA36" s="143">
        <v>0</v>
      </c>
      <c r="AB36" s="143">
        <v>0</v>
      </c>
      <c r="AC36" s="143">
        <v>0</v>
      </c>
      <c r="AD36" s="143">
        <v>0</v>
      </c>
      <c r="AE36" s="143">
        <v>0</v>
      </c>
      <c r="AF36" s="143">
        <v>0</v>
      </c>
      <c r="AG36" s="143">
        <v>0</v>
      </c>
      <c r="AH36" s="144" t="s">
        <v>270</v>
      </c>
      <c r="AI36" s="144" t="s">
        <v>271</v>
      </c>
      <c r="AJ36" s="144" t="s">
        <v>38</v>
      </c>
      <c r="AK36" s="144" t="s">
        <v>660</v>
      </c>
      <c r="AL36" s="144" t="s">
        <v>661</v>
      </c>
      <c r="AM36" s="144" t="s">
        <v>269</v>
      </c>
      <c r="AN36" s="144" t="s">
        <v>104</v>
      </c>
      <c r="AO36" s="144" t="s">
        <v>659</v>
      </c>
      <c r="AP36" s="144"/>
      <c r="AQ36" s="34"/>
      <c r="AR36" s="36">
        <f>VLOOKUP($C36,工资表明细!$C$2:$Q$190,14,0)</f>
        <v>21000</v>
      </c>
      <c r="AS36" s="36">
        <f>VLOOKUP($C36,工资表明细!$C$2:$Q$190,15,0)</f>
        <v>0</v>
      </c>
      <c r="AT36" s="36">
        <f>SUMIFS(其他补发!H:H,其他补发!B:B,C36)</f>
        <v>0</v>
      </c>
      <c r="AU36" s="36">
        <f>ROUND((AR36+AS36+AT36)/21.75*(H36+O36+P36*0.3+AA36),2)-VLOOKUP(C36,工资表明细!$C$2:$U$190,19,0)</f>
        <v>0</v>
      </c>
      <c r="AV36" s="36">
        <f>ROUND(AR36/21.75/8*2*(K36+L36*3/2),2)+SUMIFS(加班费!H:H,加班费!D:D,C36)-VLOOKUP(C36,工资表明细!$C$2:$W$190,21,0)</f>
        <v>0</v>
      </c>
      <c r="AW36" s="36">
        <f t="shared" si="0"/>
        <v>0</v>
      </c>
      <c r="AX36" s="58">
        <f t="shared" si="1"/>
        <v>0</v>
      </c>
      <c r="AY36" s="58">
        <f t="shared" si="2"/>
        <v>1</v>
      </c>
      <c r="AZ36" s="58">
        <f t="shared" si="3"/>
        <v>1</v>
      </c>
      <c r="BA36" s="34" t="str">
        <f>VLOOKUP(C36,工资表明细!$C$2:$P$223,13,0)</f>
        <v>6214830040556853</v>
      </c>
      <c r="BB36" s="34" t="b">
        <f t="shared" si="4"/>
        <v>1</v>
      </c>
      <c r="BC36" s="58">
        <f t="shared" si="5"/>
        <v>0</v>
      </c>
    </row>
    <row r="37" spans="1:55">
      <c r="A37" s="142">
        <f t="shared" si="9"/>
        <v>35</v>
      </c>
      <c r="B37" s="143" t="s">
        <v>583</v>
      </c>
      <c r="C37" s="143" t="s">
        <v>257</v>
      </c>
      <c r="D37" s="143" t="s">
        <v>258</v>
      </c>
      <c r="E37" s="143" t="s">
        <v>101</v>
      </c>
      <c r="F37" s="143" t="s">
        <v>101</v>
      </c>
      <c r="G37" s="143" t="s">
        <v>65</v>
      </c>
      <c r="H37" s="143"/>
      <c r="I37" s="143"/>
      <c r="J37" s="143"/>
      <c r="K37" s="143">
        <v>0</v>
      </c>
      <c r="L37" s="143">
        <v>0</v>
      </c>
      <c r="M37" s="143"/>
      <c r="N37" s="143">
        <v>0</v>
      </c>
      <c r="O37" s="143">
        <v>0</v>
      </c>
      <c r="P37" s="143">
        <v>0</v>
      </c>
      <c r="Q37" s="143">
        <v>0</v>
      </c>
      <c r="R37" s="143">
        <v>0</v>
      </c>
      <c r="S37" s="143">
        <v>0</v>
      </c>
      <c r="T37" s="143">
        <v>0</v>
      </c>
      <c r="U37" s="143">
        <v>0</v>
      </c>
      <c r="V37" s="143">
        <v>0</v>
      </c>
      <c r="W37" s="143">
        <v>0</v>
      </c>
      <c r="X37" s="143">
        <v>0</v>
      </c>
      <c r="Y37" s="143">
        <v>0</v>
      </c>
      <c r="Z37" s="143"/>
      <c r="AA37" s="143">
        <v>0</v>
      </c>
      <c r="AB37" s="143">
        <v>0</v>
      </c>
      <c r="AC37" s="143">
        <v>0</v>
      </c>
      <c r="AD37" s="143">
        <v>0</v>
      </c>
      <c r="AE37" s="143">
        <v>0</v>
      </c>
      <c r="AF37" s="143">
        <v>0</v>
      </c>
      <c r="AG37" s="143">
        <v>0</v>
      </c>
      <c r="AH37" s="144" t="s">
        <v>260</v>
      </c>
      <c r="AI37" s="144" t="s">
        <v>261</v>
      </c>
      <c r="AJ37" s="144" t="s">
        <v>36</v>
      </c>
      <c r="AK37" s="144" t="s">
        <v>662</v>
      </c>
      <c r="AL37" s="144" t="s">
        <v>663</v>
      </c>
      <c r="AM37" s="144" t="s">
        <v>259</v>
      </c>
      <c r="AN37" s="144" t="s">
        <v>104</v>
      </c>
      <c r="AO37" s="144" t="s">
        <v>664</v>
      </c>
      <c r="AP37" s="144"/>
      <c r="AQ37" s="34"/>
      <c r="AR37" s="36">
        <f>VLOOKUP($C37,工资表明细!$C$2:$Q$190,14,0)</f>
        <v>33000</v>
      </c>
      <c r="AS37" s="36">
        <f>VLOOKUP($C37,工资表明细!$C$2:$Q$190,15,0)</f>
        <v>0</v>
      </c>
      <c r="AT37" s="36">
        <f>SUMIFS(其他补发!H:H,其他补发!B:B,C37)</f>
        <v>0</v>
      </c>
      <c r="AU37" s="36">
        <f>ROUND((AR37+AS37+AT37)/21.75*(H37+O37+P37*0.3+AA37),2)-VLOOKUP(C37,工资表明细!$C$2:$U$190,19,0)</f>
        <v>0</v>
      </c>
      <c r="AV37" s="36">
        <f>ROUND(AR37/21.75/8*2*(K37+L37*3/2),2)+SUMIFS(加班费!H:H,加班费!D:D,C37)-VLOOKUP(C37,工资表明细!$C$2:$W$190,21,0)</f>
        <v>0</v>
      </c>
      <c r="AW37" s="36">
        <f t="shared" si="0"/>
        <v>0</v>
      </c>
      <c r="AX37" s="58">
        <f t="shared" si="1"/>
        <v>0</v>
      </c>
      <c r="AY37" s="58">
        <f t="shared" si="2"/>
        <v>1</v>
      </c>
      <c r="AZ37" s="58">
        <f t="shared" si="3"/>
        <v>1</v>
      </c>
      <c r="BA37" s="34" t="str">
        <f>VLOOKUP(C37,工资表明细!$C$2:$P$223,13,0)</f>
        <v>6214830216052059</v>
      </c>
      <c r="BB37" s="34" t="b">
        <f t="shared" si="4"/>
        <v>1</v>
      </c>
      <c r="BC37" s="58">
        <f t="shared" si="5"/>
        <v>0</v>
      </c>
    </row>
    <row r="38" spans="1:55">
      <c r="A38" s="142">
        <f t="shared" si="9"/>
        <v>36</v>
      </c>
      <c r="B38" s="143" t="s">
        <v>583</v>
      </c>
      <c r="C38" s="143" t="s">
        <v>272</v>
      </c>
      <c r="D38" s="143" t="s">
        <v>273</v>
      </c>
      <c r="E38" s="143" t="s">
        <v>101</v>
      </c>
      <c r="F38" s="143" t="s">
        <v>101</v>
      </c>
      <c r="G38" s="143" t="s">
        <v>65</v>
      </c>
      <c r="H38" s="143"/>
      <c r="I38" s="143"/>
      <c r="J38" s="143"/>
      <c r="K38" s="143">
        <v>0</v>
      </c>
      <c r="L38" s="143">
        <v>0</v>
      </c>
      <c r="M38" s="143"/>
      <c r="N38" s="143">
        <v>0</v>
      </c>
      <c r="O38" s="143">
        <v>0</v>
      </c>
      <c r="P38" s="143">
        <v>0</v>
      </c>
      <c r="Q38" s="143">
        <v>0</v>
      </c>
      <c r="R38" s="143">
        <v>0</v>
      </c>
      <c r="S38" s="143">
        <v>0</v>
      </c>
      <c r="T38" s="143">
        <v>0</v>
      </c>
      <c r="U38" s="143">
        <v>0</v>
      </c>
      <c r="V38" s="143">
        <v>0</v>
      </c>
      <c r="W38" s="143">
        <v>0</v>
      </c>
      <c r="X38" s="143">
        <v>0</v>
      </c>
      <c r="Y38" s="143">
        <v>0</v>
      </c>
      <c r="Z38" s="143"/>
      <c r="AA38" s="143">
        <v>0</v>
      </c>
      <c r="AB38" s="143">
        <v>0</v>
      </c>
      <c r="AC38" s="143">
        <v>0</v>
      </c>
      <c r="AD38" s="143">
        <v>0</v>
      </c>
      <c r="AE38" s="143">
        <v>0</v>
      </c>
      <c r="AF38" s="143">
        <v>0</v>
      </c>
      <c r="AG38" s="143">
        <v>0</v>
      </c>
      <c r="AH38" s="144" t="s">
        <v>275</v>
      </c>
      <c r="AI38" s="144" t="s">
        <v>276</v>
      </c>
      <c r="AJ38" s="144" t="s">
        <v>36</v>
      </c>
      <c r="AK38" s="144" t="s">
        <v>665</v>
      </c>
      <c r="AL38" s="144" t="s">
        <v>666</v>
      </c>
      <c r="AM38" s="144" t="s">
        <v>274</v>
      </c>
      <c r="AN38" s="144" t="s">
        <v>104</v>
      </c>
      <c r="AO38" s="144" t="s">
        <v>667</v>
      </c>
      <c r="AP38" s="144"/>
      <c r="AQ38" s="34"/>
      <c r="AR38" s="36">
        <f>VLOOKUP($C38,工资表明细!$C$2:$Q$190,14,0)</f>
        <v>35000</v>
      </c>
      <c r="AS38" s="36">
        <f>VLOOKUP($C38,工资表明细!$C$2:$Q$190,15,0)</f>
        <v>0</v>
      </c>
      <c r="AT38" s="36">
        <f>SUMIFS(其他补发!H:H,其他补发!B:B,C38)</f>
        <v>0</v>
      </c>
      <c r="AU38" s="36">
        <f>ROUND((AR38+AS38+AT38)/21.75*(H38+O38+P38*0.3+AA38),2)-VLOOKUP(C38,工资表明细!$C$2:$U$190,19,0)</f>
        <v>0</v>
      </c>
      <c r="AV38" s="36">
        <f>ROUND(AR38/21.75/8*2*(K38+L38*3/2),2)+SUMIFS(加班费!H:H,加班费!D:D,C38)-VLOOKUP(C38,工资表明细!$C$2:$W$190,21,0)</f>
        <v>0</v>
      </c>
      <c r="AW38" s="36">
        <f t="shared" si="0"/>
        <v>0</v>
      </c>
      <c r="AX38" s="58">
        <f t="shared" si="1"/>
        <v>0</v>
      </c>
      <c r="AY38" s="58">
        <f t="shared" si="2"/>
        <v>1</v>
      </c>
      <c r="AZ38" s="58">
        <f t="shared" si="3"/>
        <v>1</v>
      </c>
      <c r="BA38" s="34" t="str">
        <f>VLOOKUP(C38,工资表明细!$C$2:$P$223,13,0)</f>
        <v>6013820100004080910</v>
      </c>
      <c r="BB38" s="34" t="b">
        <f t="shared" si="4"/>
        <v>1</v>
      </c>
      <c r="BC38" s="58">
        <f t="shared" si="5"/>
        <v>0</v>
      </c>
    </row>
    <row r="39" spans="1:55">
      <c r="A39" s="142">
        <f t="shared" si="9"/>
        <v>37</v>
      </c>
      <c r="B39" s="143" t="s">
        <v>583</v>
      </c>
      <c r="C39" s="143" t="s">
        <v>277</v>
      </c>
      <c r="D39" s="143" t="s">
        <v>278</v>
      </c>
      <c r="E39" s="143" t="s">
        <v>101</v>
      </c>
      <c r="F39" s="143" t="s">
        <v>101</v>
      </c>
      <c r="G39" s="143" t="s">
        <v>65</v>
      </c>
      <c r="H39" s="143"/>
      <c r="I39" s="143"/>
      <c r="J39" s="143"/>
      <c r="K39" s="143">
        <v>0</v>
      </c>
      <c r="L39" s="143">
        <v>0</v>
      </c>
      <c r="M39" s="143"/>
      <c r="N39" s="143">
        <v>0</v>
      </c>
      <c r="O39" s="143">
        <v>0</v>
      </c>
      <c r="P39" s="143">
        <v>0</v>
      </c>
      <c r="Q39" s="143">
        <v>0</v>
      </c>
      <c r="R39" s="143">
        <v>0</v>
      </c>
      <c r="S39" s="143">
        <v>0</v>
      </c>
      <c r="T39" s="143">
        <v>0</v>
      </c>
      <c r="U39" s="143">
        <v>0</v>
      </c>
      <c r="V39" s="143">
        <v>0</v>
      </c>
      <c r="W39" s="143">
        <v>0</v>
      </c>
      <c r="X39" s="143">
        <v>0</v>
      </c>
      <c r="Y39" s="143">
        <v>0</v>
      </c>
      <c r="Z39" s="143"/>
      <c r="AA39" s="143">
        <v>0</v>
      </c>
      <c r="AB39" s="143">
        <v>0</v>
      </c>
      <c r="AC39" s="143">
        <v>0</v>
      </c>
      <c r="AD39" s="143">
        <v>0</v>
      </c>
      <c r="AE39" s="143">
        <v>0</v>
      </c>
      <c r="AF39" s="143">
        <v>0</v>
      </c>
      <c r="AG39" s="143">
        <v>0</v>
      </c>
      <c r="AH39" s="144" t="s">
        <v>280</v>
      </c>
      <c r="AI39" s="144" t="s">
        <v>281</v>
      </c>
      <c r="AJ39" s="144" t="s">
        <v>36</v>
      </c>
      <c r="AK39" s="144" t="s">
        <v>668</v>
      </c>
      <c r="AL39" s="144" t="s">
        <v>669</v>
      </c>
      <c r="AM39" s="144" t="s">
        <v>279</v>
      </c>
      <c r="AN39" s="144" t="s">
        <v>104</v>
      </c>
      <c r="AO39" s="144" t="s">
        <v>667</v>
      </c>
      <c r="AP39" s="144"/>
      <c r="AQ39" s="34"/>
      <c r="AR39" s="36">
        <f>VLOOKUP($C39,工资表明细!$C$2:$Q$190,14,0)</f>
        <v>26500</v>
      </c>
      <c r="AS39" s="36">
        <f>VLOOKUP($C39,工资表明细!$C$2:$Q$190,15,0)</f>
        <v>0</v>
      </c>
      <c r="AT39" s="36">
        <f>SUMIFS(其他补发!H:H,其他补发!B:B,C39)</f>
        <v>0</v>
      </c>
      <c r="AU39" s="36">
        <f>ROUND((AR39+AS39+AT39)/21.75*(H39+O39+P39*0.3+AA39),2)-VLOOKUP(C39,工资表明细!$C$2:$U$190,19,0)</f>
        <v>0</v>
      </c>
      <c r="AV39" s="36">
        <f>ROUND(AR39/21.75/8*2*(K39+L39*3/2),2)+SUMIFS(加班费!H:H,加班费!D:D,C39)-VLOOKUP(C39,工资表明细!$C$2:$W$190,21,0)</f>
        <v>0</v>
      </c>
      <c r="AW39" s="36">
        <f t="shared" si="0"/>
        <v>0</v>
      </c>
      <c r="AX39" s="58">
        <f t="shared" si="1"/>
        <v>0</v>
      </c>
      <c r="AY39" s="58">
        <f t="shared" si="2"/>
        <v>1</v>
      </c>
      <c r="AZ39" s="58">
        <f t="shared" si="3"/>
        <v>1</v>
      </c>
      <c r="BA39" s="34" t="str">
        <f>VLOOKUP(C39,工资表明细!$C$2:$P$223,13,0)</f>
        <v>6214857553194707</v>
      </c>
      <c r="BB39" s="34" t="b">
        <f t="shared" si="4"/>
        <v>1</v>
      </c>
      <c r="BC39" s="58">
        <f t="shared" si="5"/>
        <v>0</v>
      </c>
    </row>
    <row r="40" spans="1:55">
      <c r="A40" s="142">
        <f t="shared" si="9"/>
        <v>38</v>
      </c>
      <c r="B40" s="143" t="s">
        <v>583</v>
      </c>
      <c r="C40" s="143" t="s">
        <v>282</v>
      </c>
      <c r="D40" s="143" t="s">
        <v>283</v>
      </c>
      <c r="E40" s="143" t="s">
        <v>101</v>
      </c>
      <c r="F40" s="143" t="s">
        <v>101</v>
      </c>
      <c r="G40" s="143" t="s">
        <v>69</v>
      </c>
      <c r="H40" s="143"/>
      <c r="I40" s="143"/>
      <c r="J40" s="143"/>
      <c r="K40" s="143">
        <v>0</v>
      </c>
      <c r="L40" s="143">
        <v>0</v>
      </c>
      <c r="M40" s="143"/>
      <c r="N40" s="143">
        <v>0</v>
      </c>
      <c r="O40" s="143">
        <v>0</v>
      </c>
      <c r="P40" s="143">
        <v>0</v>
      </c>
      <c r="Q40" s="143">
        <v>0</v>
      </c>
      <c r="R40" s="143">
        <v>0</v>
      </c>
      <c r="S40" s="143">
        <v>0</v>
      </c>
      <c r="T40" s="143">
        <v>0</v>
      </c>
      <c r="U40" s="143">
        <v>0</v>
      </c>
      <c r="V40" s="143">
        <v>0</v>
      </c>
      <c r="W40" s="143">
        <v>0</v>
      </c>
      <c r="X40" s="143">
        <v>0</v>
      </c>
      <c r="Y40" s="143">
        <v>0</v>
      </c>
      <c r="Z40" s="143"/>
      <c r="AA40" s="143">
        <v>0</v>
      </c>
      <c r="AB40" s="143">
        <v>0</v>
      </c>
      <c r="AC40" s="143">
        <v>0</v>
      </c>
      <c r="AD40" s="143">
        <v>0</v>
      </c>
      <c r="AE40" s="143">
        <v>0</v>
      </c>
      <c r="AF40" s="143">
        <v>0</v>
      </c>
      <c r="AG40" s="143">
        <v>0</v>
      </c>
      <c r="AH40" s="144" t="s">
        <v>285</v>
      </c>
      <c r="AI40" s="144" t="s">
        <v>286</v>
      </c>
      <c r="AJ40" s="144" t="s">
        <v>38</v>
      </c>
      <c r="AK40" s="144" t="s">
        <v>670</v>
      </c>
      <c r="AL40" s="144" t="s">
        <v>671</v>
      </c>
      <c r="AM40" s="144" t="s">
        <v>284</v>
      </c>
      <c r="AN40" s="144" t="s">
        <v>104</v>
      </c>
      <c r="AO40" s="144" t="s">
        <v>672</v>
      </c>
      <c r="AP40" s="144"/>
      <c r="AQ40" s="34"/>
      <c r="AR40" s="36">
        <f>VLOOKUP($C40,工资表明细!$C$2:$Q$190,14,0)</f>
        <v>16000</v>
      </c>
      <c r="AS40" s="36">
        <f>VLOOKUP($C40,工资表明细!$C$2:$Q$190,15,0)</f>
        <v>0</v>
      </c>
      <c r="AT40" s="36">
        <f>SUMIFS(其他补发!H:H,其他补发!B:B,C40)</f>
        <v>0</v>
      </c>
      <c r="AU40" s="36">
        <f>ROUND((AR40+AS40+AT40)/21.75*(H40+O40+P40*0.3+AA40),2)-VLOOKUP(C40,工资表明细!$C$2:$U$190,19,0)</f>
        <v>0</v>
      </c>
      <c r="AV40" s="36">
        <f>ROUND(AR40/21.75/8*2*(K40+L40*3/2),2)+SUMIFS(加班费!H:H,加班费!D:D,C40)-VLOOKUP(C40,工资表明细!$C$2:$W$190,21,0)</f>
        <v>0</v>
      </c>
      <c r="AW40" s="36">
        <f t="shared" si="0"/>
        <v>0</v>
      </c>
      <c r="AX40" s="58">
        <f t="shared" si="1"/>
        <v>0</v>
      </c>
      <c r="AY40" s="58">
        <f t="shared" si="2"/>
        <v>1</v>
      </c>
      <c r="AZ40" s="58">
        <f t="shared" si="3"/>
        <v>1</v>
      </c>
      <c r="BA40" s="34" t="str">
        <f>VLOOKUP(C40,工资表明细!$C$2:$P$223,13,0)</f>
        <v>6214837196351005</v>
      </c>
      <c r="BB40" s="34" t="b">
        <f t="shared" si="4"/>
        <v>1</v>
      </c>
      <c r="BC40" s="58">
        <f t="shared" si="5"/>
        <v>0</v>
      </c>
    </row>
    <row r="41" spans="1:55">
      <c r="A41" s="142">
        <f t="shared" ref="A41:A50" si="10">ROW()-2</f>
        <v>39</v>
      </c>
      <c r="B41" s="143" t="s">
        <v>583</v>
      </c>
      <c r="C41" s="143" t="s">
        <v>287</v>
      </c>
      <c r="D41" s="143" t="s">
        <v>288</v>
      </c>
      <c r="E41" s="143" t="s">
        <v>101</v>
      </c>
      <c r="F41" s="143" t="s">
        <v>101</v>
      </c>
      <c r="G41" s="143" t="s">
        <v>65</v>
      </c>
      <c r="H41" s="143"/>
      <c r="I41" s="143"/>
      <c r="J41" s="143"/>
      <c r="K41" s="143">
        <v>0</v>
      </c>
      <c r="L41" s="143">
        <v>0</v>
      </c>
      <c r="M41" s="143"/>
      <c r="N41" s="143">
        <v>0</v>
      </c>
      <c r="O41" s="143">
        <v>0</v>
      </c>
      <c r="P41" s="143">
        <v>0</v>
      </c>
      <c r="Q41" s="143">
        <v>0</v>
      </c>
      <c r="R41" s="143">
        <v>0</v>
      </c>
      <c r="S41" s="143">
        <v>0</v>
      </c>
      <c r="T41" s="143">
        <v>0</v>
      </c>
      <c r="U41" s="143">
        <v>0</v>
      </c>
      <c r="V41" s="143">
        <v>0</v>
      </c>
      <c r="W41" s="143">
        <v>0</v>
      </c>
      <c r="X41" s="143">
        <v>0</v>
      </c>
      <c r="Y41" s="143">
        <v>0</v>
      </c>
      <c r="Z41" s="143"/>
      <c r="AA41" s="143">
        <v>0</v>
      </c>
      <c r="AB41" s="143">
        <v>0</v>
      </c>
      <c r="AC41" s="143">
        <v>0</v>
      </c>
      <c r="AD41" s="143">
        <v>0</v>
      </c>
      <c r="AE41" s="143">
        <v>0</v>
      </c>
      <c r="AF41" s="143">
        <v>0</v>
      </c>
      <c r="AG41" s="143">
        <v>0</v>
      </c>
      <c r="AH41" s="144" t="s">
        <v>290</v>
      </c>
      <c r="AI41" s="144" t="s">
        <v>291</v>
      </c>
      <c r="AJ41" s="144" t="s">
        <v>36</v>
      </c>
      <c r="AK41" s="144" t="s">
        <v>673</v>
      </c>
      <c r="AL41" s="144" t="s">
        <v>674</v>
      </c>
      <c r="AM41" s="144" t="s">
        <v>289</v>
      </c>
      <c r="AN41" s="144" t="s">
        <v>104</v>
      </c>
      <c r="AO41" s="144" t="s">
        <v>675</v>
      </c>
      <c r="AP41" s="144"/>
      <c r="AQ41" s="34"/>
      <c r="AR41" s="36">
        <f>VLOOKUP($C41,工资表明细!$C$2:$Q$190,14,0)</f>
        <v>13000</v>
      </c>
      <c r="AS41" s="36">
        <f>VLOOKUP($C41,工资表明细!$C$2:$Q$190,15,0)</f>
        <v>0</v>
      </c>
      <c r="AT41" s="36">
        <f>SUMIFS(其他补发!H:H,其他补发!B:B,C41)</f>
        <v>0</v>
      </c>
      <c r="AU41" s="36">
        <f>ROUND((AR41+AS41+AT41)/21.75*(H41+O41+P41*0.3+AA41),2)-VLOOKUP(C41,工资表明细!$C$2:$U$190,19,0)</f>
        <v>0</v>
      </c>
      <c r="AV41" s="36">
        <f>ROUND(AR41/21.75/8*2*(K41+L41*3/2),2)+SUMIFS(加班费!H:H,加班费!D:D,C41)-VLOOKUP(C41,工资表明细!$C$2:$W$190,21,0)</f>
        <v>0</v>
      </c>
      <c r="AW41" s="36">
        <f t="shared" si="0"/>
        <v>0</v>
      </c>
      <c r="AX41" s="58">
        <f t="shared" si="1"/>
        <v>0</v>
      </c>
      <c r="AY41" s="58">
        <f t="shared" si="2"/>
        <v>1</v>
      </c>
      <c r="AZ41" s="58">
        <f t="shared" si="3"/>
        <v>1</v>
      </c>
      <c r="BA41" s="34" t="str">
        <f>VLOOKUP(C41,工资表明细!$C$2:$P$223,13,0)</f>
        <v>6216632000000691578</v>
      </c>
      <c r="BB41" s="34" t="b">
        <f t="shared" si="4"/>
        <v>1</v>
      </c>
      <c r="BC41" s="58">
        <f t="shared" si="5"/>
        <v>0</v>
      </c>
    </row>
    <row r="42" spans="1:55">
      <c r="A42" s="142">
        <f t="shared" si="10"/>
        <v>40</v>
      </c>
      <c r="B42" s="143" t="s">
        <v>583</v>
      </c>
      <c r="C42" s="143" t="s">
        <v>292</v>
      </c>
      <c r="D42" s="143" t="s">
        <v>293</v>
      </c>
      <c r="E42" s="143" t="s">
        <v>101</v>
      </c>
      <c r="F42" s="143" t="s">
        <v>101</v>
      </c>
      <c r="G42" s="143" t="s">
        <v>65</v>
      </c>
      <c r="H42" s="143"/>
      <c r="I42" s="143"/>
      <c r="J42" s="143"/>
      <c r="K42" s="143">
        <v>0</v>
      </c>
      <c r="L42" s="143">
        <v>0</v>
      </c>
      <c r="M42" s="143"/>
      <c r="N42" s="143">
        <v>0</v>
      </c>
      <c r="O42" s="143">
        <v>0</v>
      </c>
      <c r="P42" s="143">
        <v>0</v>
      </c>
      <c r="Q42" s="143">
        <v>0</v>
      </c>
      <c r="R42" s="143">
        <v>0</v>
      </c>
      <c r="S42" s="143">
        <v>0</v>
      </c>
      <c r="T42" s="143">
        <v>0</v>
      </c>
      <c r="U42" s="143">
        <v>0</v>
      </c>
      <c r="V42" s="143">
        <v>0</v>
      </c>
      <c r="W42" s="143">
        <v>0</v>
      </c>
      <c r="X42" s="143">
        <v>0</v>
      </c>
      <c r="Y42" s="143">
        <v>0</v>
      </c>
      <c r="Z42" s="143"/>
      <c r="AA42" s="143">
        <v>0</v>
      </c>
      <c r="AB42" s="143">
        <v>0</v>
      </c>
      <c r="AC42" s="143">
        <v>0</v>
      </c>
      <c r="AD42" s="143">
        <v>0</v>
      </c>
      <c r="AE42" s="143">
        <v>0</v>
      </c>
      <c r="AF42" s="143">
        <v>0</v>
      </c>
      <c r="AG42" s="143">
        <v>0</v>
      </c>
      <c r="AH42" s="144" t="s">
        <v>294</v>
      </c>
      <c r="AI42" s="144" t="s">
        <v>295</v>
      </c>
      <c r="AJ42" s="144" t="s">
        <v>36</v>
      </c>
      <c r="AK42" s="144" t="s">
        <v>676</v>
      </c>
      <c r="AL42" s="144" t="s">
        <v>677</v>
      </c>
      <c r="AM42" s="144" t="s">
        <v>225</v>
      </c>
      <c r="AN42" s="144" t="s">
        <v>104</v>
      </c>
      <c r="AO42" s="144" t="s">
        <v>678</v>
      </c>
      <c r="AP42" s="144"/>
      <c r="AQ42" s="34"/>
      <c r="AR42" s="36">
        <f>VLOOKUP($C42,工资表明细!$C$2:$Q$190,14,0)</f>
        <v>8000</v>
      </c>
      <c r="AS42" s="36">
        <f>VLOOKUP($C42,工资表明细!$C$2:$Q$190,15,0)</f>
        <v>0</v>
      </c>
      <c r="AT42" s="36">
        <f>SUMIFS(其他补发!H:H,其他补发!B:B,C42)</f>
        <v>0</v>
      </c>
      <c r="AU42" s="36">
        <f>ROUND((AR42+AS42+AT42)/21.75*(H42+O42+P42*0.3+AA42),2)-VLOOKUP(C42,工资表明细!$C$2:$U$190,19,0)</f>
        <v>0</v>
      </c>
      <c r="AV42" s="36">
        <f>ROUND(AR42/21.75/8*2*(K42+L42*3/2),2)+SUMIFS(加班费!H:H,加班费!D:D,C42)-VLOOKUP(C42,工资表明细!$C$2:$W$190,21,0)</f>
        <v>0</v>
      </c>
      <c r="AW42" s="36">
        <f t="shared" si="0"/>
        <v>0</v>
      </c>
      <c r="AX42" s="58">
        <f t="shared" si="1"/>
        <v>0</v>
      </c>
      <c r="AY42" s="58">
        <f t="shared" si="2"/>
        <v>1</v>
      </c>
      <c r="AZ42" s="58">
        <f t="shared" si="3"/>
        <v>1</v>
      </c>
      <c r="BA42" s="34" t="str">
        <f>VLOOKUP(C42,工资表明细!$C$2:$P$223,13,0)</f>
        <v>6214833684927687</v>
      </c>
      <c r="BB42" s="34" t="b">
        <f t="shared" si="4"/>
        <v>1</v>
      </c>
      <c r="BC42" s="58">
        <f t="shared" si="5"/>
        <v>0</v>
      </c>
    </row>
    <row r="43" spans="1:55">
      <c r="A43" s="142">
        <f t="shared" si="10"/>
        <v>41</v>
      </c>
      <c r="B43" s="143" t="s">
        <v>583</v>
      </c>
      <c r="C43" s="143" t="s">
        <v>296</v>
      </c>
      <c r="D43" s="143" t="s">
        <v>297</v>
      </c>
      <c r="E43" s="143" t="s">
        <v>101</v>
      </c>
      <c r="F43" s="143" t="s">
        <v>101</v>
      </c>
      <c r="G43" s="143" t="s">
        <v>65</v>
      </c>
      <c r="H43" s="143"/>
      <c r="I43" s="143"/>
      <c r="J43" s="143"/>
      <c r="K43" s="143">
        <v>0</v>
      </c>
      <c r="L43" s="143">
        <v>0</v>
      </c>
      <c r="M43" s="143"/>
      <c r="N43" s="143">
        <v>0</v>
      </c>
      <c r="O43" s="143">
        <v>0</v>
      </c>
      <c r="P43" s="143">
        <v>0</v>
      </c>
      <c r="Q43" s="143">
        <v>0</v>
      </c>
      <c r="R43" s="143">
        <v>0</v>
      </c>
      <c r="S43" s="143">
        <v>0</v>
      </c>
      <c r="T43" s="143">
        <v>0</v>
      </c>
      <c r="U43" s="143">
        <v>0</v>
      </c>
      <c r="V43" s="143">
        <v>0</v>
      </c>
      <c r="W43" s="143">
        <v>0</v>
      </c>
      <c r="X43" s="143">
        <v>0</v>
      </c>
      <c r="Y43" s="143">
        <v>0</v>
      </c>
      <c r="Z43" s="143"/>
      <c r="AA43" s="143">
        <v>0</v>
      </c>
      <c r="AB43" s="143">
        <v>0</v>
      </c>
      <c r="AC43" s="143">
        <v>0</v>
      </c>
      <c r="AD43" s="143">
        <v>0</v>
      </c>
      <c r="AE43" s="143">
        <v>0</v>
      </c>
      <c r="AF43" s="143">
        <v>0</v>
      </c>
      <c r="AG43" s="143">
        <v>0</v>
      </c>
      <c r="AH43" s="144" t="s">
        <v>299</v>
      </c>
      <c r="AI43" s="144" t="s">
        <v>300</v>
      </c>
      <c r="AJ43" s="144" t="s">
        <v>36</v>
      </c>
      <c r="AK43" s="144" t="s">
        <v>679</v>
      </c>
      <c r="AL43" s="144" t="s">
        <v>680</v>
      </c>
      <c r="AM43" s="144" t="s">
        <v>298</v>
      </c>
      <c r="AN43" s="144" t="s">
        <v>104</v>
      </c>
      <c r="AO43" s="144" t="s">
        <v>678</v>
      </c>
      <c r="AP43" s="144"/>
      <c r="AQ43" s="34"/>
      <c r="AR43" s="36">
        <f>VLOOKUP($C43,工资表明细!$C$2:$Q$190,14,0)</f>
        <v>14000</v>
      </c>
      <c r="AS43" s="36">
        <f>VLOOKUP($C43,工资表明细!$C$2:$Q$190,15,0)</f>
        <v>0</v>
      </c>
      <c r="AT43" s="36">
        <f>SUMIFS(其他补发!H:H,其他补发!B:B,C43)</f>
        <v>0</v>
      </c>
      <c r="AU43" s="36">
        <f>ROUND((AR43+AS43+AT43)/21.75*(H43+O43+P43*0.3+AA43),2)-VLOOKUP(C43,工资表明细!$C$2:$U$190,19,0)</f>
        <v>0</v>
      </c>
      <c r="AV43" s="36">
        <f>ROUND(AR43/21.75/8*2*(K43+L43*3/2),2)+SUMIFS(加班费!H:H,加班费!D:D,C43)-VLOOKUP(C43,工资表明细!$C$2:$W$190,21,0)</f>
        <v>0</v>
      </c>
      <c r="AW43" s="36">
        <f t="shared" si="0"/>
        <v>0</v>
      </c>
      <c r="AX43" s="58">
        <f t="shared" si="1"/>
        <v>0</v>
      </c>
      <c r="AY43" s="58">
        <f t="shared" si="2"/>
        <v>1</v>
      </c>
      <c r="AZ43" s="58">
        <f t="shared" si="3"/>
        <v>1</v>
      </c>
      <c r="BA43" s="34" t="str">
        <f>VLOOKUP(C43,工资表明细!$C$2:$P$223,13,0)</f>
        <v>6214832505677158</v>
      </c>
      <c r="BB43" s="34" t="b">
        <f t="shared" si="4"/>
        <v>1</v>
      </c>
      <c r="BC43" s="58">
        <f t="shared" si="5"/>
        <v>0</v>
      </c>
    </row>
    <row r="44" spans="1:55">
      <c r="A44" s="142">
        <f t="shared" si="10"/>
        <v>42</v>
      </c>
      <c r="B44" s="143" t="s">
        <v>583</v>
      </c>
      <c r="C44" s="143" t="s">
        <v>301</v>
      </c>
      <c r="D44" s="143" t="s">
        <v>302</v>
      </c>
      <c r="E44" s="143" t="s">
        <v>101</v>
      </c>
      <c r="F44" s="143" t="s">
        <v>101</v>
      </c>
      <c r="G44" s="143" t="s">
        <v>65</v>
      </c>
      <c r="H44" s="143"/>
      <c r="I44" s="143"/>
      <c r="J44" s="143"/>
      <c r="K44" s="143">
        <v>0</v>
      </c>
      <c r="L44" s="143">
        <v>0</v>
      </c>
      <c r="M44" s="143"/>
      <c r="N44" s="143">
        <v>0</v>
      </c>
      <c r="O44" s="143">
        <v>0</v>
      </c>
      <c r="P44" s="143">
        <v>0</v>
      </c>
      <c r="Q44" s="143">
        <v>0</v>
      </c>
      <c r="R44" s="143">
        <v>0</v>
      </c>
      <c r="S44" s="143">
        <v>0</v>
      </c>
      <c r="T44" s="143">
        <v>0</v>
      </c>
      <c r="U44" s="143">
        <v>0</v>
      </c>
      <c r="V44" s="143">
        <v>0</v>
      </c>
      <c r="W44" s="143">
        <v>0</v>
      </c>
      <c r="X44" s="143">
        <v>0</v>
      </c>
      <c r="Y44" s="143">
        <v>0</v>
      </c>
      <c r="Z44" s="143"/>
      <c r="AA44" s="143">
        <v>0</v>
      </c>
      <c r="AB44" s="143">
        <v>0</v>
      </c>
      <c r="AC44" s="143">
        <v>0</v>
      </c>
      <c r="AD44" s="143">
        <v>0</v>
      </c>
      <c r="AE44" s="143">
        <v>0</v>
      </c>
      <c r="AF44" s="143">
        <v>0</v>
      </c>
      <c r="AG44" s="143">
        <v>0</v>
      </c>
      <c r="AH44" s="144" t="s">
        <v>304</v>
      </c>
      <c r="AI44" s="144" t="s">
        <v>305</v>
      </c>
      <c r="AJ44" s="144" t="s">
        <v>36</v>
      </c>
      <c r="AK44" s="144" t="s">
        <v>681</v>
      </c>
      <c r="AL44" s="144" t="s">
        <v>682</v>
      </c>
      <c r="AM44" s="144" t="s">
        <v>303</v>
      </c>
      <c r="AN44" s="144" t="s">
        <v>104</v>
      </c>
      <c r="AO44" s="144" t="s">
        <v>683</v>
      </c>
      <c r="AP44" s="144"/>
      <c r="AQ44" s="34"/>
      <c r="AR44" s="36">
        <f>VLOOKUP($C44,工资表明细!$C$2:$Q$190,14,0)</f>
        <v>15000</v>
      </c>
      <c r="AS44" s="36">
        <f>VLOOKUP($C44,工资表明细!$C$2:$Q$190,15,0)</f>
        <v>0</v>
      </c>
      <c r="AT44" s="36">
        <f>SUMIFS(其他补发!H:H,其他补发!B:B,C44)</f>
        <v>0</v>
      </c>
      <c r="AU44" s="36">
        <f>ROUND((AR44+AS44+AT44)/21.75*(H44+O44+P44*0.3+AA44),2)-VLOOKUP(C44,工资表明细!$C$2:$U$190,19,0)</f>
        <v>0</v>
      </c>
      <c r="AV44" s="36">
        <f>ROUND(AR44/21.75/8*2*(K44+L44*3/2),2)+SUMIFS(加班费!H:H,加班费!D:D,C44)-VLOOKUP(C44,工资表明细!$C$2:$W$190,21,0)</f>
        <v>0</v>
      </c>
      <c r="AW44" s="36">
        <f t="shared" si="0"/>
        <v>0</v>
      </c>
      <c r="AX44" s="58">
        <f t="shared" si="1"/>
        <v>0</v>
      </c>
      <c r="AY44" s="58">
        <f t="shared" si="2"/>
        <v>1</v>
      </c>
      <c r="AZ44" s="58">
        <f t="shared" si="3"/>
        <v>1</v>
      </c>
      <c r="BA44" s="34" t="str">
        <f>VLOOKUP(C44,工资表明细!$C$2:$P$223,13,0)</f>
        <v>6214830050219012</v>
      </c>
      <c r="BB44" s="34" t="b">
        <f t="shared" si="4"/>
        <v>1</v>
      </c>
      <c r="BC44" s="58">
        <f t="shared" si="5"/>
        <v>0</v>
      </c>
    </row>
    <row r="45" spans="1:55">
      <c r="A45" s="142">
        <f t="shared" si="10"/>
        <v>43</v>
      </c>
      <c r="B45" s="143" t="s">
        <v>583</v>
      </c>
      <c r="C45" s="143" t="s">
        <v>306</v>
      </c>
      <c r="D45" s="143" t="s">
        <v>307</v>
      </c>
      <c r="E45" s="143" t="s">
        <v>101</v>
      </c>
      <c r="F45" s="143" t="s">
        <v>101</v>
      </c>
      <c r="G45" s="143" t="s">
        <v>64</v>
      </c>
      <c r="H45" s="143"/>
      <c r="I45" s="143"/>
      <c r="J45" s="143"/>
      <c r="K45" s="143">
        <v>0</v>
      </c>
      <c r="L45" s="143">
        <v>0</v>
      </c>
      <c r="M45" s="143"/>
      <c r="N45" s="143">
        <v>0</v>
      </c>
      <c r="O45" s="143">
        <v>0</v>
      </c>
      <c r="P45" s="143">
        <v>0</v>
      </c>
      <c r="Q45" s="143">
        <v>0</v>
      </c>
      <c r="R45" s="143">
        <v>0</v>
      </c>
      <c r="S45" s="143">
        <v>0</v>
      </c>
      <c r="T45" s="143">
        <v>0</v>
      </c>
      <c r="U45" s="143">
        <v>0</v>
      </c>
      <c r="V45" s="143">
        <v>0</v>
      </c>
      <c r="W45" s="143">
        <v>0</v>
      </c>
      <c r="X45" s="143">
        <v>0</v>
      </c>
      <c r="Y45" s="143">
        <v>0</v>
      </c>
      <c r="Z45" s="143"/>
      <c r="AA45" s="143">
        <v>0</v>
      </c>
      <c r="AB45" s="143">
        <v>0</v>
      </c>
      <c r="AC45" s="143">
        <v>0</v>
      </c>
      <c r="AD45" s="143">
        <v>0</v>
      </c>
      <c r="AE45" s="143">
        <v>0</v>
      </c>
      <c r="AF45" s="143">
        <v>0</v>
      </c>
      <c r="AG45" s="143">
        <v>0</v>
      </c>
      <c r="AH45" s="144" t="s">
        <v>308</v>
      </c>
      <c r="AI45" s="144" t="s">
        <v>309</v>
      </c>
      <c r="AJ45" s="144" t="s">
        <v>38</v>
      </c>
      <c r="AK45" s="144" t="s">
        <v>684</v>
      </c>
      <c r="AL45" s="144" t="s">
        <v>685</v>
      </c>
      <c r="AM45" s="144" t="s">
        <v>172</v>
      </c>
      <c r="AN45" s="144" t="s">
        <v>104</v>
      </c>
      <c r="AO45" s="144" t="s">
        <v>686</v>
      </c>
      <c r="AP45" s="144"/>
      <c r="AQ45" s="34"/>
      <c r="AR45" s="36">
        <f>VLOOKUP($C45,工资表明细!$C$2:$Q$190,14,0)</f>
        <v>35000</v>
      </c>
      <c r="AS45" s="36">
        <f>VLOOKUP($C45,工资表明细!$C$2:$Q$190,15,0)</f>
        <v>0</v>
      </c>
      <c r="AT45" s="36">
        <f>SUMIFS(其他补发!H:H,其他补发!B:B,C45)</f>
        <v>0</v>
      </c>
      <c r="AU45" s="36">
        <f>ROUND((AR45+AS45+AT45)/21.75*(H45+O45+P45*0.3+AA45),2)-VLOOKUP(C45,工资表明细!$C$2:$U$190,19,0)</f>
        <v>0</v>
      </c>
      <c r="AV45" s="36">
        <f>ROUND(AR45/21.75/8*2*(K45+L45*3/2),2)+SUMIFS(加班费!H:H,加班费!D:D,C45)-VLOOKUP(C45,工资表明细!$C$2:$W$190,21,0)</f>
        <v>0</v>
      </c>
      <c r="AW45" s="36">
        <f t="shared" si="0"/>
        <v>0</v>
      </c>
      <c r="AX45" s="58">
        <f t="shared" si="1"/>
        <v>0</v>
      </c>
      <c r="AY45" s="58">
        <f t="shared" si="2"/>
        <v>1</v>
      </c>
      <c r="AZ45" s="58">
        <f t="shared" si="3"/>
        <v>1</v>
      </c>
      <c r="BA45" s="34" t="str">
        <f>VLOOKUP(C45,工资表明细!$C$2:$P$223,13,0)</f>
        <v>6226090106167261</v>
      </c>
      <c r="BB45" s="34" t="b">
        <f t="shared" si="4"/>
        <v>1</v>
      </c>
      <c r="BC45" s="58">
        <f t="shared" si="5"/>
        <v>0</v>
      </c>
    </row>
    <row r="46" spans="1:55">
      <c r="A46" s="142">
        <f t="shared" si="10"/>
        <v>44</v>
      </c>
      <c r="B46" s="143" t="s">
        <v>583</v>
      </c>
      <c r="C46" s="143" t="s">
        <v>310</v>
      </c>
      <c r="D46" s="143" t="s">
        <v>311</v>
      </c>
      <c r="E46" s="143" t="s">
        <v>101</v>
      </c>
      <c r="F46" s="143" t="s">
        <v>101</v>
      </c>
      <c r="G46" s="143" t="s">
        <v>67</v>
      </c>
      <c r="H46" s="143"/>
      <c r="I46" s="143"/>
      <c r="J46" s="143"/>
      <c r="K46" s="143">
        <v>0</v>
      </c>
      <c r="L46" s="143">
        <v>0</v>
      </c>
      <c r="M46" s="143"/>
      <c r="N46" s="143">
        <v>0</v>
      </c>
      <c r="O46" s="143">
        <v>0</v>
      </c>
      <c r="P46" s="143">
        <v>0</v>
      </c>
      <c r="Q46" s="143">
        <v>0</v>
      </c>
      <c r="R46" s="143">
        <v>0</v>
      </c>
      <c r="S46" s="143">
        <v>0</v>
      </c>
      <c r="T46" s="143">
        <v>0</v>
      </c>
      <c r="U46" s="143">
        <v>0</v>
      </c>
      <c r="V46" s="143">
        <v>0</v>
      </c>
      <c r="W46" s="143">
        <v>0</v>
      </c>
      <c r="X46" s="143">
        <v>0</v>
      </c>
      <c r="Y46" s="143">
        <v>0</v>
      </c>
      <c r="Z46" s="143"/>
      <c r="AA46" s="143">
        <v>0</v>
      </c>
      <c r="AB46" s="143">
        <v>0</v>
      </c>
      <c r="AC46" s="143">
        <v>0</v>
      </c>
      <c r="AD46" s="143">
        <v>0</v>
      </c>
      <c r="AE46" s="143">
        <v>0</v>
      </c>
      <c r="AF46" s="143">
        <v>0</v>
      </c>
      <c r="AG46" s="143">
        <v>0</v>
      </c>
      <c r="AH46" s="144" t="s">
        <v>314</v>
      </c>
      <c r="AI46" s="144" t="s">
        <v>315</v>
      </c>
      <c r="AJ46" s="144" t="s">
        <v>36</v>
      </c>
      <c r="AK46" s="144" t="s">
        <v>687</v>
      </c>
      <c r="AL46" s="144" t="s">
        <v>688</v>
      </c>
      <c r="AM46" s="144" t="s">
        <v>313</v>
      </c>
      <c r="AN46" s="144" t="s">
        <v>312</v>
      </c>
      <c r="AO46" s="144" t="s">
        <v>689</v>
      </c>
      <c r="AP46" s="144"/>
      <c r="AQ46" s="34"/>
      <c r="AR46" s="36">
        <f>VLOOKUP($C46,工资表明细!$C$2:$Q$190,14,0)</f>
        <v>4000</v>
      </c>
      <c r="AS46" s="36">
        <f>VLOOKUP($C46,工资表明细!$C$2:$Q$190,15,0)</f>
        <v>0</v>
      </c>
      <c r="AT46" s="36">
        <f>SUMIFS(其他补发!H:H,其他补发!B:B,C46)</f>
        <v>0</v>
      </c>
      <c r="AU46" s="36">
        <f>ROUND((AR46+AS46+AT46)/21.75*(H46+O46+P46*0.3+AA46),2)-VLOOKUP(C46,工资表明细!$C$2:$U$190,19,0)</f>
        <v>0</v>
      </c>
      <c r="AV46" s="36">
        <f>ROUND(AR46/21.75/8*2*(K46+L46*3/2),2)+SUMIFS(加班费!H:H,加班费!D:D,C46)-VLOOKUP(C46,工资表明细!$C$2:$W$190,21,0)</f>
        <v>0</v>
      </c>
      <c r="AW46" s="36">
        <f t="shared" si="0"/>
        <v>0</v>
      </c>
      <c r="AX46" s="58">
        <f t="shared" si="1"/>
        <v>0</v>
      </c>
      <c r="AY46" s="58">
        <f t="shared" si="2"/>
        <v>1</v>
      </c>
      <c r="AZ46" s="58">
        <f t="shared" si="3"/>
        <v>1</v>
      </c>
      <c r="BA46" s="34" t="str">
        <f>VLOOKUP(C46,工资表明细!$C$2:$P$223,13,0)</f>
        <v>6214833685475751</v>
      </c>
      <c r="BB46" s="34" t="b">
        <f t="shared" si="4"/>
        <v>1</v>
      </c>
      <c r="BC46" s="58">
        <f t="shared" si="5"/>
        <v>0</v>
      </c>
    </row>
    <row r="47" spans="1:55">
      <c r="A47" s="142">
        <f t="shared" si="10"/>
        <v>45</v>
      </c>
      <c r="B47" s="143" t="s">
        <v>583</v>
      </c>
      <c r="C47" s="143" t="s">
        <v>316</v>
      </c>
      <c r="D47" s="143" t="s">
        <v>317</v>
      </c>
      <c r="E47" s="143" t="s">
        <v>101</v>
      </c>
      <c r="F47" s="143" t="s">
        <v>101</v>
      </c>
      <c r="G47" s="143" t="s">
        <v>67</v>
      </c>
      <c r="H47" s="143"/>
      <c r="I47" s="143"/>
      <c r="J47" s="143"/>
      <c r="K47" s="143">
        <v>0</v>
      </c>
      <c r="L47" s="143">
        <v>0</v>
      </c>
      <c r="M47" s="143"/>
      <c r="N47" s="143">
        <v>0</v>
      </c>
      <c r="O47" s="143">
        <v>0</v>
      </c>
      <c r="P47" s="143">
        <v>0</v>
      </c>
      <c r="Q47" s="143">
        <v>0</v>
      </c>
      <c r="R47" s="143">
        <v>0</v>
      </c>
      <c r="S47" s="143">
        <v>0</v>
      </c>
      <c r="T47" s="143">
        <v>0</v>
      </c>
      <c r="U47" s="143">
        <v>0</v>
      </c>
      <c r="V47" s="143">
        <v>0</v>
      </c>
      <c r="W47" s="143">
        <v>0</v>
      </c>
      <c r="X47" s="143">
        <v>0</v>
      </c>
      <c r="Y47" s="143">
        <v>0</v>
      </c>
      <c r="Z47" s="143"/>
      <c r="AA47" s="143">
        <v>0</v>
      </c>
      <c r="AB47" s="143">
        <v>0</v>
      </c>
      <c r="AC47" s="143">
        <v>0</v>
      </c>
      <c r="AD47" s="143">
        <v>0</v>
      </c>
      <c r="AE47" s="143">
        <v>0</v>
      </c>
      <c r="AF47" s="143">
        <v>0</v>
      </c>
      <c r="AG47" s="143">
        <v>0</v>
      </c>
      <c r="AH47" s="144" t="s">
        <v>319</v>
      </c>
      <c r="AI47" s="144" t="s">
        <v>320</v>
      </c>
      <c r="AJ47" s="144" t="s">
        <v>36</v>
      </c>
      <c r="AK47" s="144" t="s">
        <v>690</v>
      </c>
      <c r="AL47" s="144" t="s">
        <v>691</v>
      </c>
      <c r="AM47" s="144" t="s">
        <v>318</v>
      </c>
      <c r="AN47" s="144" t="s">
        <v>104</v>
      </c>
      <c r="AO47" s="144" t="s">
        <v>692</v>
      </c>
      <c r="AP47" s="144"/>
      <c r="AQ47" s="34"/>
      <c r="AR47" s="36">
        <f>VLOOKUP($C47,工资表明细!$C$2:$Q$190,14,0)</f>
        <v>26000</v>
      </c>
      <c r="AS47" s="36">
        <f>VLOOKUP($C47,工资表明细!$C$2:$Q$190,15,0)</f>
        <v>0</v>
      </c>
      <c r="AT47" s="36">
        <f>SUMIFS(其他补发!H:H,其他补发!B:B,C47)</f>
        <v>0</v>
      </c>
      <c r="AU47" s="36">
        <f>ROUND((AR47+AS47+AT47)/21.75*(H47+O47+P47*0.3+AA47),2)-VLOOKUP(C47,工资表明细!$C$2:$U$190,19,0)</f>
        <v>0</v>
      </c>
      <c r="AV47" s="36">
        <f>ROUND(AR47/21.75/8*2*(K47+L47*3/2),2)+SUMIFS(加班费!H:H,加班费!D:D,C47)-VLOOKUP(C47,工资表明细!$C$2:$W$190,21,0)</f>
        <v>0</v>
      </c>
      <c r="AW47" s="36">
        <f t="shared" si="0"/>
        <v>0</v>
      </c>
      <c r="AX47" s="58">
        <f t="shared" si="1"/>
        <v>0</v>
      </c>
      <c r="AY47" s="58">
        <f t="shared" si="2"/>
        <v>1</v>
      </c>
      <c r="AZ47" s="58">
        <f t="shared" si="3"/>
        <v>1</v>
      </c>
      <c r="BA47" s="34" t="str">
        <f>VLOOKUP(C47,工资表明细!$C$2:$P$223,13,0)</f>
        <v>6214832169922593</v>
      </c>
      <c r="BB47" s="34" t="b">
        <f t="shared" si="4"/>
        <v>1</v>
      </c>
      <c r="BC47" s="58">
        <f t="shared" si="5"/>
        <v>0</v>
      </c>
    </row>
    <row r="48" spans="1:55">
      <c r="A48" s="142">
        <f t="shared" si="10"/>
        <v>46</v>
      </c>
      <c r="B48" s="143" t="s">
        <v>583</v>
      </c>
      <c r="C48" s="143" t="s">
        <v>321</v>
      </c>
      <c r="D48" s="143" t="s">
        <v>322</v>
      </c>
      <c r="E48" s="143" t="s">
        <v>101</v>
      </c>
      <c r="F48" s="143" t="s">
        <v>101</v>
      </c>
      <c r="G48" s="143" t="s">
        <v>69</v>
      </c>
      <c r="H48" s="143"/>
      <c r="I48" s="143"/>
      <c r="J48" s="143"/>
      <c r="K48" s="143">
        <v>0</v>
      </c>
      <c r="L48" s="143">
        <v>0</v>
      </c>
      <c r="M48" s="143"/>
      <c r="N48" s="143">
        <v>0</v>
      </c>
      <c r="O48" s="143">
        <v>0</v>
      </c>
      <c r="P48" s="143">
        <v>0</v>
      </c>
      <c r="Q48" s="143">
        <v>0</v>
      </c>
      <c r="R48" s="143">
        <v>0</v>
      </c>
      <c r="S48" s="143">
        <v>0</v>
      </c>
      <c r="T48" s="143">
        <v>0</v>
      </c>
      <c r="U48" s="143">
        <v>0</v>
      </c>
      <c r="V48" s="143">
        <v>0</v>
      </c>
      <c r="W48" s="143">
        <v>0</v>
      </c>
      <c r="X48" s="143">
        <v>0</v>
      </c>
      <c r="Y48" s="143">
        <v>0</v>
      </c>
      <c r="Z48" s="143"/>
      <c r="AA48" s="143">
        <v>0</v>
      </c>
      <c r="AB48" s="143">
        <v>0</v>
      </c>
      <c r="AC48" s="143">
        <v>0</v>
      </c>
      <c r="AD48" s="143">
        <v>0</v>
      </c>
      <c r="AE48" s="143">
        <v>0</v>
      </c>
      <c r="AF48" s="143">
        <v>0</v>
      </c>
      <c r="AG48" s="143">
        <v>0</v>
      </c>
      <c r="AH48" s="144" t="s">
        <v>324</v>
      </c>
      <c r="AI48" s="144" t="s">
        <v>325</v>
      </c>
      <c r="AJ48" s="144" t="s">
        <v>36</v>
      </c>
      <c r="AK48" s="144" t="s">
        <v>693</v>
      </c>
      <c r="AL48" s="144" t="s">
        <v>694</v>
      </c>
      <c r="AM48" s="144" t="s">
        <v>323</v>
      </c>
      <c r="AN48" s="144" t="s">
        <v>104</v>
      </c>
      <c r="AO48" s="144" t="s">
        <v>692</v>
      </c>
      <c r="AP48" s="144"/>
      <c r="AQ48" s="34"/>
      <c r="AR48" s="36">
        <f>VLOOKUP($C48,工资表明细!$C$2:$Q$190,14,0)</f>
        <v>15000</v>
      </c>
      <c r="AS48" s="36">
        <f>VLOOKUP($C48,工资表明细!$C$2:$Q$190,15,0)</f>
        <v>0</v>
      </c>
      <c r="AT48" s="36">
        <f>SUMIFS(其他补发!H:H,其他补发!B:B,C48)</f>
        <v>0</v>
      </c>
      <c r="AU48" s="36">
        <f>ROUND((AR48+AS48+AT48)/21.75*(H48+O48+P48*0.3+AA48),2)-VLOOKUP(C48,工资表明细!$C$2:$U$190,19,0)</f>
        <v>0</v>
      </c>
      <c r="AV48" s="36">
        <f>ROUND(AR48/21.75/8*2*(K48+L48*3/2),2)+SUMIFS(加班费!H:H,加班费!D:D,C48)-VLOOKUP(C48,工资表明细!$C$2:$W$190,21,0)</f>
        <v>0</v>
      </c>
      <c r="AW48" s="36">
        <f t="shared" si="0"/>
        <v>0</v>
      </c>
      <c r="AX48" s="58">
        <f t="shared" si="1"/>
        <v>0</v>
      </c>
      <c r="AY48" s="58">
        <f t="shared" si="2"/>
        <v>1</v>
      </c>
      <c r="AZ48" s="58">
        <f t="shared" si="3"/>
        <v>1</v>
      </c>
      <c r="BA48" s="34" t="str">
        <f>VLOOKUP(C48,工资表明细!$C$2:$P$223,13,0)</f>
        <v>6214831804235346</v>
      </c>
      <c r="BB48" s="34" t="b">
        <f t="shared" si="4"/>
        <v>1</v>
      </c>
      <c r="BC48" s="58">
        <f t="shared" si="5"/>
        <v>0</v>
      </c>
    </row>
    <row r="49" spans="1:55">
      <c r="A49" s="142">
        <f t="shared" si="10"/>
        <v>47</v>
      </c>
      <c r="B49" s="143" t="s">
        <v>583</v>
      </c>
      <c r="C49" s="143" t="s">
        <v>326</v>
      </c>
      <c r="D49" s="143" t="s">
        <v>327</v>
      </c>
      <c r="E49" s="143" t="s">
        <v>101</v>
      </c>
      <c r="F49" s="143" t="s">
        <v>101</v>
      </c>
      <c r="G49" s="143" t="s">
        <v>65</v>
      </c>
      <c r="H49" s="143"/>
      <c r="I49" s="143"/>
      <c r="J49" s="143"/>
      <c r="K49" s="143">
        <v>0</v>
      </c>
      <c r="L49" s="143">
        <v>0</v>
      </c>
      <c r="M49" s="143"/>
      <c r="N49" s="143">
        <v>0</v>
      </c>
      <c r="O49" s="143">
        <v>4</v>
      </c>
      <c r="P49" s="143">
        <v>0</v>
      </c>
      <c r="Q49" s="143">
        <v>0</v>
      </c>
      <c r="R49" s="143">
        <v>0</v>
      </c>
      <c r="S49" s="143">
        <v>0</v>
      </c>
      <c r="T49" s="143">
        <v>0</v>
      </c>
      <c r="U49" s="143">
        <v>0</v>
      </c>
      <c r="V49" s="143">
        <v>0</v>
      </c>
      <c r="W49" s="143">
        <v>0</v>
      </c>
      <c r="X49" s="143">
        <v>0</v>
      </c>
      <c r="Y49" s="143">
        <v>0</v>
      </c>
      <c r="Z49" s="143"/>
      <c r="AA49" s="143">
        <v>0</v>
      </c>
      <c r="AB49" s="143">
        <v>0</v>
      </c>
      <c r="AC49" s="143">
        <v>0</v>
      </c>
      <c r="AD49" s="143">
        <v>0</v>
      </c>
      <c r="AE49" s="143">
        <v>0</v>
      </c>
      <c r="AF49" s="143">
        <v>0</v>
      </c>
      <c r="AG49" s="143">
        <v>0</v>
      </c>
      <c r="AH49" s="144" t="s">
        <v>329</v>
      </c>
      <c r="AI49" s="144" t="s">
        <v>330</v>
      </c>
      <c r="AJ49" s="144" t="s">
        <v>36</v>
      </c>
      <c r="AK49" s="144" t="s">
        <v>695</v>
      </c>
      <c r="AL49" s="144" t="s">
        <v>696</v>
      </c>
      <c r="AM49" s="144" t="s">
        <v>328</v>
      </c>
      <c r="AN49" s="144" t="s">
        <v>312</v>
      </c>
      <c r="AO49" s="144" t="s">
        <v>697</v>
      </c>
      <c r="AP49" s="144"/>
      <c r="AQ49" s="34"/>
      <c r="AR49" s="36">
        <f>VLOOKUP($C49,工资表明细!$C$2:$Q$190,14,0)</f>
        <v>4000</v>
      </c>
      <c r="AS49" s="36">
        <f>VLOOKUP($C49,工资表明细!$C$2:$Q$190,15,0)</f>
        <v>0</v>
      </c>
      <c r="AT49" s="36">
        <f>SUMIFS(其他补发!H:H,其他补发!B:B,C49)</f>
        <v>0</v>
      </c>
      <c r="AU49" s="36">
        <f>ROUND((AR49+AS49+AT49)/21.75*(H49+O49+P49*0.3+AA49),2)-VLOOKUP(C49,工资表明细!$C$2:$U$190,19,0)</f>
        <v>0</v>
      </c>
      <c r="AV49" s="36">
        <f>ROUND(AR49/21.75/8*2*(K49+L49*3/2),2)+SUMIFS(加班费!H:H,加班费!D:D,C49)-VLOOKUP(C49,工资表明细!$C$2:$W$190,21,0)</f>
        <v>0</v>
      </c>
      <c r="AW49" s="36">
        <f t="shared" si="0"/>
        <v>0</v>
      </c>
      <c r="AX49" s="58">
        <f t="shared" si="1"/>
        <v>4</v>
      </c>
      <c r="AY49" s="58">
        <f t="shared" si="2"/>
        <v>0.82</v>
      </c>
      <c r="AZ49" s="58">
        <f t="shared" si="3"/>
        <v>1</v>
      </c>
      <c r="BA49" s="34" t="str">
        <f>VLOOKUP(C49,工资表明细!$C$2:$P$223,13,0)</f>
        <v>6214831803724555</v>
      </c>
      <c r="BB49" s="34" t="b">
        <f t="shared" si="4"/>
        <v>1</v>
      </c>
      <c r="BC49" s="58">
        <f t="shared" si="5"/>
        <v>0</v>
      </c>
    </row>
    <row r="50" spans="1:55">
      <c r="A50" s="142">
        <f t="shared" si="10"/>
        <v>48</v>
      </c>
      <c r="B50" s="143" t="s">
        <v>583</v>
      </c>
      <c r="C50" s="143" t="s">
        <v>331</v>
      </c>
      <c r="D50" s="143" t="s">
        <v>332</v>
      </c>
      <c r="E50" s="143" t="s">
        <v>101</v>
      </c>
      <c r="F50" s="143" t="s">
        <v>101</v>
      </c>
      <c r="G50" s="143" t="s">
        <v>65</v>
      </c>
      <c r="H50" s="143"/>
      <c r="I50" s="143"/>
      <c r="J50" s="143"/>
      <c r="K50" s="143">
        <v>0</v>
      </c>
      <c r="L50" s="143">
        <v>0</v>
      </c>
      <c r="M50" s="143"/>
      <c r="N50" s="143">
        <v>0</v>
      </c>
      <c r="O50" s="143">
        <v>0</v>
      </c>
      <c r="P50" s="143">
        <v>0</v>
      </c>
      <c r="Q50" s="143">
        <v>0</v>
      </c>
      <c r="R50" s="143">
        <v>0</v>
      </c>
      <c r="S50" s="143">
        <v>0</v>
      </c>
      <c r="T50" s="143">
        <v>0</v>
      </c>
      <c r="U50" s="143">
        <v>0</v>
      </c>
      <c r="V50" s="143">
        <v>0</v>
      </c>
      <c r="W50" s="143">
        <v>0</v>
      </c>
      <c r="X50" s="143">
        <v>0</v>
      </c>
      <c r="Y50" s="143">
        <v>0</v>
      </c>
      <c r="Z50" s="143"/>
      <c r="AA50" s="143">
        <v>0</v>
      </c>
      <c r="AB50" s="143">
        <v>0</v>
      </c>
      <c r="AC50" s="143">
        <v>0</v>
      </c>
      <c r="AD50" s="143">
        <v>0</v>
      </c>
      <c r="AE50" s="143">
        <v>0</v>
      </c>
      <c r="AF50" s="143">
        <v>0</v>
      </c>
      <c r="AG50" s="143">
        <v>0</v>
      </c>
      <c r="AH50" s="144" t="s">
        <v>334</v>
      </c>
      <c r="AI50" s="144" t="s">
        <v>335</v>
      </c>
      <c r="AJ50" s="144" t="s">
        <v>36</v>
      </c>
      <c r="AK50" s="144" t="s">
        <v>698</v>
      </c>
      <c r="AL50" s="144" t="s">
        <v>699</v>
      </c>
      <c r="AM50" s="144" t="s">
        <v>333</v>
      </c>
      <c r="AN50" s="144" t="s">
        <v>104</v>
      </c>
      <c r="AO50" s="144" t="s">
        <v>700</v>
      </c>
      <c r="AP50" s="144"/>
      <c r="AQ50" s="34"/>
      <c r="AR50" s="36">
        <f>VLOOKUP($C50,工资表明细!$C$2:$Q$190,14,0)</f>
        <v>26000</v>
      </c>
      <c r="AS50" s="36">
        <f>VLOOKUP($C50,工资表明细!$C$2:$Q$190,15,0)</f>
        <v>0</v>
      </c>
      <c r="AT50" s="36">
        <f>SUMIFS(其他补发!H:H,其他补发!B:B,C50)</f>
        <v>0</v>
      </c>
      <c r="AU50" s="36">
        <f>ROUND((AR50+AS50+AT50)/21.75*(H50+O50+P50*0.3+AA50),2)-VLOOKUP(C50,工资表明细!$C$2:$U$190,19,0)</f>
        <v>0</v>
      </c>
      <c r="AV50" s="36">
        <f>ROUND(AR50/21.75/8*2*(K50+L50*3/2),2)+SUMIFS(加班费!H:H,加班费!D:D,C50)-VLOOKUP(C50,工资表明细!$C$2:$W$190,21,0)</f>
        <v>0</v>
      </c>
      <c r="AW50" s="36">
        <f t="shared" si="0"/>
        <v>0</v>
      </c>
      <c r="AX50" s="58">
        <f t="shared" si="1"/>
        <v>0</v>
      </c>
      <c r="AY50" s="58">
        <f t="shared" si="2"/>
        <v>1</v>
      </c>
      <c r="AZ50" s="58">
        <f t="shared" si="3"/>
        <v>1</v>
      </c>
      <c r="BA50" s="34" t="str">
        <f>VLOOKUP(C50,工资表明细!$C$2:$P$223,13,0)</f>
        <v>6214836555263686</v>
      </c>
      <c r="BB50" s="34" t="b">
        <f t="shared" si="4"/>
        <v>1</v>
      </c>
      <c r="BC50" s="58">
        <f t="shared" si="5"/>
        <v>0</v>
      </c>
    </row>
    <row r="51" spans="1:55">
      <c r="A51" s="142">
        <f t="shared" ref="A51:A58" si="11">ROW()-2</f>
        <v>49</v>
      </c>
      <c r="B51" s="143" t="s">
        <v>583</v>
      </c>
      <c r="C51" s="143" t="s">
        <v>336</v>
      </c>
      <c r="D51" s="143" t="s">
        <v>337</v>
      </c>
      <c r="E51" s="143" t="s">
        <v>101</v>
      </c>
      <c r="F51" s="143" t="s">
        <v>101</v>
      </c>
      <c r="G51" s="143" t="s">
        <v>69</v>
      </c>
      <c r="H51" s="143"/>
      <c r="I51" s="143"/>
      <c r="J51" s="143"/>
      <c r="K51" s="143">
        <v>0</v>
      </c>
      <c r="L51" s="143">
        <v>0</v>
      </c>
      <c r="M51" s="143"/>
      <c r="N51" s="143">
        <v>0</v>
      </c>
      <c r="O51" s="143">
        <v>0</v>
      </c>
      <c r="P51" s="143">
        <v>0</v>
      </c>
      <c r="Q51" s="143">
        <v>0</v>
      </c>
      <c r="R51" s="143">
        <v>0</v>
      </c>
      <c r="S51" s="143">
        <v>0</v>
      </c>
      <c r="T51" s="143">
        <v>0</v>
      </c>
      <c r="U51" s="143">
        <v>0</v>
      </c>
      <c r="V51" s="143">
        <v>0</v>
      </c>
      <c r="W51" s="143">
        <v>0</v>
      </c>
      <c r="X51" s="143">
        <v>0</v>
      </c>
      <c r="Y51" s="143">
        <v>0</v>
      </c>
      <c r="Z51" s="143"/>
      <c r="AA51" s="143">
        <v>0</v>
      </c>
      <c r="AB51" s="143">
        <v>0</v>
      </c>
      <c r="AC51" s="143">
        <v>0</v>
      </c>
      <c r="AD51" s="143">
        <v>0</v>
      </c>
      <c r="AE51" s="143">
        <v>0</v>
      </c>
      <c r="AF51" s="143">
        <v>0</v>
      </c>
      <c r="AG51" s="143">
        <v>0</v>
      </c>
      <c r="AH51" s="144" t="s">
        <v>339</v>
      </c>
      <c r="AI51" s="144" t="s">
        <v>340</v>
      </c>
      <c r="AJ51" s="144" t="s">
        <v>38</v>
      </c>
      <c r="AK51" s="144" t="s">
        <v>701</v>
      </c>
      <c r="AL51" s="144" t="s">
        <v>702</v>
      </c>
      <c r="AM51" s="144" t="s">
        <v>338</v>
      </c>
      <c r="AN51" s="144" t="s">
        <v>104</v>
      </c>
      <c r="AO51" s="144" t="s">
        <v>703</v>
      </c>
      <c r="AP51" s="144"/>
      <c r="AQ51" s="34"/>
      <c r="AR51" s="36">
        <f>VLOOKUP($C51,工资表明细!$C$2:$Q$190,14,0)</f>
        <v>18000</v>
      </c>
      <c r="AS51" s="36">
        <f>VLOOKUP($C51,工资表明细!$C$2:$Q$190,15,0)</f>
        <v>0</v>
      </c>
      <c r="AT51" s="36">
        <f>SUMIFS(其他补发!H:H,其他补发!B:B,C51)</f>
        <v>0</v>
      </c>
      <c r="AU51" s="36">
        <f>ROUND((AR51+AS51+AT51)/21.75*(H51+O51+P51*0.3+AA51),2)-VLOOKUP(C51,工资表明细!$C$2:$U$190,19,0)</f>
        <v>0</v>
      </c>
      <c r="AV51" s="36">
        <f>ROUND(AR51/21.75/8*2*(K51+L51*3/2),2)+SUMIFS(加班费!H:H,加班费!D:D,C51)-VLOOKUP(C51,工资表明细!$C$2:$W$190,21,0)</f>
        <v>0</v>
      </c>
      <c r="AW51" s="36">
        <f t="shared" si="0"/>
        <v>0</v>
      </c>
      <c r="AX51" s="58">
        <f t="shared" si="1"/>
        <v>0</v>
      </c>
      <c r="AY51" s="58">
        <f t="shared" si="2"/>
        <v>1</v>
      </c>
      <c r="AZ51" s="58">
        <f t="shared" si="3"/>
        <v>1</v>
      </c>
      <c r="BA51" s="34" t="str">
        <f>VLOOKUP(C51,工资表明细!$C$2:$P$223,13,0)</f>
        <v>6214838660222672</v>
      </c>
      <c r="BB51" s="34" t="b">
        <f t="shared" si="4"/>
        <v>1</v>
      </c>
      <c r="BC51" s="58">
        <f t="shared" si="5"/>
        <v>0</v>
      </c>
    </row>
    <row r="52" spans="1:55">
      <c r="A52" s="142">
        <f t="shared" si="11"/>
        <v>50</v>
      </c>
      <c r="B52" s="143" t="s">
        <v>583</v>
      </c>
      <c r="C52" s="143" t="s">
        <v>341</v>
      </c>
      <c r="D52" s="143" t="s">
        <v>342</v>
      </c>
      <c r="E52" s="143" t="s">
        <v>101</v>
      </c>
      <c r="F52" s="143" t="s">
        <v>101</v>
      </c>
      <c r="G52" s="143" t="s">
        <v>65</v>
      </c>
      <c r="H52" s="143"/>
      <c r="I52" s="143"/>
      <c r="J52" s="143"/>
      <c r="K52" s="143">
        <v>0</v>
      </c>
      <c r="L52" s="143">
        <v>0</v>
      </c>
      <c r="M52" s="143"/>
      <c r="N52" s="143">
        <v>0</v>
      </c>
      <c r="O52" s="143">
        <v>0</v>
      </c>
      <c r="P52" s="143">
        <v>0</v>
      </c>
      <c r="Q52" s="143">
        <v>0</v>
      </c>
      <c r="R52" s="143">
        <v>0</v>
      </c>
      <c r="S52" s="143">
        <v>0</v>
      </c>
      <c r="T52" s="143">
        <v>0</v>
      </c>
      <c r="U52" s="143">
        <v>0</v>
      </c>
      <c r="V52" s="143">
        <v>0</v>
      </c>
      <c r="W52" s="143">
        <v>0</v>
      </c>
      <c r="X52" s="143">
        <v>0</v>
      </c>
      <c r="Y52" s="143">
        <v>0</v>
      </c>
      <c r="Z52" s="143"/>
      <c r="AA52" s="143">
        <v>0</v>
      </c>
      <c r="AB52" s="143">
        <v>0</v>
      </c>
      <c r="AC52" s="143">
        <v>0</v>
      </c>
      <c r="AD52" s="143">
        <v>0</v>
      </c>
      <c r="AE52" s="143">
        <v>0</v>
      </c>
      <c r="AF52" s="143">
        <v>0</v>
      </c>
      <c r="AG52" s="143">
        <v>0</v>
      </c>
      <c r="AH52" s="144" t="s">
        <v>344</v>
      </c>
      <c r="AI52" s="144" t="s">
        <v>345</v>
      </c>
      <c r="AJ52" s="144" t="s">
        <v>36</v>
      </c>
      <c r="AK52" s="144" t="s">
        <v>704</v>
      </c>
      <c r="AL52" s="144" t="s">
        <v>705</v>
      </c>
      <c r="AM52" s="144" t="s">
        <v>343</v>
      </c>
      <c r="AN52" s="144" t="s">
        <v>104</v>
      </c>
      <c r="AO52" s="144" t="s">
        <v>706</v>
      </c>
      <c r="AP52" s="144"/>
      <c r="AQ52" s="34"/>
      <c r="AR52" s="36">
        <f>VLOOKUP($C52,工资表明细!$C$2:$Q$190,14,0)</f>
        <v>35000</v>
      </c>
      <c r="AS52" s="36">
        <f>VLOOKUP($C52,工资表明细!$C$2:$Q$190,15,0)</f>
        <v>0</v>
      </c>
      <c r="AT52" s="36">
        <f>SUMIFS(其他补发!H:H,其他补发!B:B,C52)</f>
        <v>0</v>
      </c>
      <c r="AU52" s="36">
        <f>ROUND((AR52+AS52+AT52)/21.75*(H52+O52+P52*0.3+AA52),2)-VLOOKUP(C52,工资表明细!$C$2:$U$190,19,0)</f>
        <v>0</v>
      </c>
      <c r="AV52" s="36">
        <f>ROUND(AR52/21.75/8*2*(K52+L52*3/2),2)+SUMIFS(加班费!H:H,加班费!D:D,C52)-VLOOKUP(C52,工资表明细!$C$2:$W$190,21,0)</f>
        <v>0</v>
      </c>
      <c r="AW52" s="36">
        <f t="shared" si="0"/>
        <v>0</v>
      </c>
      <c r="AX52" s="58">
        <f t="shared" si="1"/>
        <v>0</v>
      </c>
      <c r="AY52" s="58">
        <f t="shared" si="2"/>
        <v>1</v>
      </c>
      <c r="AZ52" s="58">
        <f t="shared" si="3"/>
        <v>1</v>
      </c>
      <c r="BA52" s="34" t="str">
        <f>VLOOKUP(C52,工资表明细!$C$2:$P$223,13,0)</f>
        <v>6226096552737622</v>
      </c>
      <c r="BB52" s="34" t="b">
        <f t="shared" si="4"/>
        <v>1</v>
      </c>
      <c r="BC52" s="58">
        <f t="shared" si="5"/>
        <v>0</v>
      </c>
    </row>
    <row r="53" spans="1:55">
      <c r="A53" s="142">
        <f t="shared" si="11"/>
        <v>51</v>
      </c>
      <c r="B53" s="143" t="s">
        <v>583</v>
      </c>
      <c r="C53" s="143" t="s">
        <v>346</v>
      </c>
      <c r="D53" s="143" t="s">
        <v>347</v>
      </c>
      <c r="E53" s="143" t="s">
        <v>101</v>
      </c>
      <c r="F53" s="143" t="s">
        <v>101</v>
      </c>
      <c r="G53" s="143" t="s">
        <v>67</v>
      </c>
      <c r="H53" s="143"/>
      <c r="I53" s="143"/>
      <c r="J53" s="143"/>
      <c r="K53" s="143">
        <v>0</v>
      </c>
      <c r="L53" s="143">
        <v>0</v>
      </c>
      <c r="M53" s="143"/>
      <c r="N53" s="143">
        <v>0</v>
      </c>
      <c r="O53" s="143">
        <v>0</v>
      </c>
      <c r="P53" s="143">
        <v>0</v>
      </c>
      <c r="Q53" s="143">
        <v>0</v>
      </c>
      <c r="R53" s="143">
        <v>0</v>
      </c>
      <c r="S53" s="143">
        <v>0</v>
      </c>
      <c r="T53" s="143">
        <v>0</v>
      </c>
      <c r="U53" s="143">
        <v>0</v>
      </c>
      <c r="V53" s="143">
        <v>0</v>
      </c>
      <c r="W53" s="143">
        <v>0</v>
      </c>
      <c r="X53" s="143">
        <v>0</v>
      </c>
      <c r="Y53" s="143">
        <v>0</v>
      </c>
      <c r="Z53" s="143"/>
      <c r="AA53" s="143">
        <v>0</v>
      </c>
      <c r="AB53" s="143">
        <v>0</v>
      </c>
      <c r="AC53" s="143">
        <v>0</v>
      </c>
      <c r="AD53" s="143">
        <v>0</v>
      </c>
      <c r="AE53" s="143">
        <v>0</v>
      </c>
      <c r="AF53" s="143">
        <v>0</v>
      </c>
      <c r="AG53" s="143">
        <v>0</v>
      </c>
      <c r="AH53" s="144" t="s">
        <v>349</v>
      </c>
      <c r="AI53" s="144" t="s">
        <v>350</v>
      </c>
      <c r="AJ53" s="144" t="s">
        <v>36</v>
      </c>
      <c r="AK53" s="144" t="s">
        <v>707</v>
      </c>
      <c r="AL53" s="144" t="s">
        <v>708</v>
      </c>
      <c r="AM53" s="144" t="s">
        <v>348</v>
      </c>
      <c r="AN53" s="144" t="s">
        <v>104</v>
      </c>
      <c r="AO53" s="144" t="s">
        <v>709</v>
      </c>
      <c r="AP53" s="144"/>
      <c r="AQ53" s="34"/>
      <c r="AR53" s="36">
        <f>VLOOKUP($C53,工资表明细!$C$2:$Q$190,14,0)</f>
        <v>20000</v>
      </c>
      <c r="AS53" s="36">
        <f>VLOOKUP($C53,工资表明细!$C$2:$Q$190,15,0)</f>
        <v>0</v>
      </c>
      <c r="AT53" s="36">
        <f>SUMIFS(其他补发!H:H,其他补发!B:B,C53)</f>
        <v>0</v>
      </c>
      <c r="AU53" s="36">
        <f>ROUND((AR53+AS53+AT53)/21.75*(H53+O53+P53*0.3+AA53),2)-VLOOKUP(C53,工资表明细!$C$2:$U$190,19,0)</f>
        <v>0</v>
      </c>
      <c r="AV53" s="36">
        <f>ROUND(AR53/21.75/8*2*(K53+L53*3/2),2)+SUMIFS(加班费!H:H,加班费!D:D,C53)-VLOOKUP(C53,工资表明细!$C$2:$W$190,21,0)</f>
        <v>0</v>
      </c>
      <c r="AW53" s="36">
        <f t="shared" si="0"/>
        <v>0</v>
      </c>
      <c r="AX53" s="58">
        <f t="shared" si="1"/>
        <v>0</v>
      </c>
      <c r="AY53" s="58">
        <f t="shared" si="2"/>
        <v>1</v>
      </c>
      <c r="AZ53" s="58">
        <f t="shared" si="3"/>
        <v>1</v>
      </c>
      <c r="BA53" s="34" t="str">
        <f>VLOOKUP(C53,工资表明细!$C$2:$P$223,13,0)</f>
        <v>6226090292669245</v>
      </c>
      <c r="BB53" s="34" t="b">
        <f t="shared" si="4"/>
        <v>1</v>
      </c>
      <c r="BC53" s="58">
        <f t="shared" si="5"/>
        <v>0</v>
      </c>
    </row>
    <row r="54" spans="1:55">
      <c r="A54" s="142">
        <f t="shared" si="11"/>
        <v>52</v>
      </c>
      <c r="B54" s="143" t="s">
        <v>583</v>
      </c>
      <c r="C54" s="143" t="s">
        <v>356</v>
      </c>
      <c r="D54" s="143" t="s">
        <v>357</v>
      </c>
      <c r="E54" s="143" t="s">
        <v>101</v>
      </c>
      <c r="F54" s="143" t="s">
        <v>101</v>
      </c>
      <c r="G54" s="143" t="s">
        <v>69</v>
      </c>
      <c r="H54" s="143"/>
      <c r="I54" s="143"/>
      <c r="J54" s="143"/>
      <c r="K54" s="143">
        <v>0</v>
      </c>
      <c r="L54" s="143">
        <v>0</v>
      </c>
      <c r="M54" s="143"/>
      <c r="N54" s="143">
        <v>0</v>
      </c>
      <c r="O54" s="143">
        <v>0</v>
      </c>
      <c r="P54" s="143">
        <v>0</v>
      </c>
      <c r="Q54" s="143">
        <v>0</v>
      </c>
      <c r="R54" s="143">
        <v>0</v>
      </c>
      <c r="S54" s="143">
        <v>0</v>
      </c>
      <c r="T54" s="143">
        <v>0</v>
      </c>
      <c r="U54" s="143">
        <v>0</v>
      </c>
      <c r="V54" s="143">
        <v>0</v>
      </c>
      <c r="W54" s="143">
        <v>0</v>
      </c>
      <c r="X54" s="143">
        <v>0</v>
      </c>
      <c r="Y54" s="143">
        <v>0</v>
      </c>
      <c r="Z54" s="143"/>
      <c r="AA54" s="143">
        <v>0</v>
      </c>
      <c r="AB54" s="143">
        <v>0</v>
      </c>
      <c r="AC54" s="143">
        <v>0</v>
      </c>
      <c r="AD54" s="143">
        <v>0</v>
      </c>
      <c r="AE54" s="143">
        <v>0</v>
      </c>
      <c r="AF54" s="143">
        <v>0</v>
      </c>
      <c r="AG54" s="143">
        <v>0</v>
      </c>
      <c r="AH54" s="144" t="s">
        <v>358</v>
      </c>
      <c r="AI54" s="144" t="s">
        <v>359</v>
      </c>
      <c r="AJ54" s="144" t="s">
        <v>36</v>
      </c>
      <c r="AK54" s="144" t="s">
        <v>710</v>
      </c>
      <c r="AL54" s="144" t="s">
        <v>711</v>
      </c>
      <c r="AM54" s="144" t="s">
        <v>130</v>
      </c>
      <c r="AN54" s="144" t="s">
        <v>104</v>
      </c>
      <c r="AO54" s="144" t="s">
        <v>712</v>
      </c>
      <c r="AP54" s="144"/>
      <c r="AQ54" s="34"/>
      <c r="AR54" s="36">
        <f>VLOOKUP($C54,工资表明细!$C$2:$Q$190,14,0)</f>
        <v>19000</v>
      </c>
      <c r="AS54" s="36">
        <f>VLOOKUP($C54,工资表明细!$C$2:$Q$190,15,0)</f>
        <v>0</v>
      </c>
      <c r="AT54" s="36">
        <f>SUMIFS(其他补发!H:H,其他补发!B:B,C54)</f>
        <v>0</v>
      </c>
      <c r="AU54" s="36">
        <f>ROUND((AR54+AS54+AT54)/21.75*(H54+O54+P54*0.3+AA54),2)-VLOOKUP(C54,工资表明细!$C$2:$U$190,19,0)</f>
        <v>0</v>
      </c>
      <c r="AV54" s="36">
        <f>ROUND(AR54/21.75/8*2*(K54+L54*3/2),2)+SUMIFS(加班费!H:H,加班费!D:D,C54)-VLOOKUP(C54,工资表明细!$C$2:$W$190,21,0)</f>
        <v>0</v>
      </c>
      <c r="AW54" s="36">
        <f t="shared" si="0"/>
        <v>0</v>
      </c>
      <c r="AX54" s="58">
        <f t="shared" si="1"/>
        <v>0</v>
      </c>
      <c r="AY54" s="58">
        <f t="shared" si="2"/>
        <v>1</v>
      </c>
      <c r="AZ54" s="58">
        <f t="shared" si="3"/>
        <v>1</v>
      </c>
      <c r="BA54" s="34" t="str">
        <f>VLOOKUP(C54,工资表明细!$C$2:$P$223,13,0)</f>
        <v>6214832023245363</v>
      </c>
      <c r="BB54" s="34" t="b">
        <f t="shared" si="4"/>
        <v>1</v>
      </c>
      <c r="BC54" s="58">
        <f t="shared" si="5"/>
        <v>0</v>
      </c>
    </row>
    <row r="55" spans="1:55">
      <c r="A55" s="142">
        <f t="shared" si="11"/>
        <v>53</v>
      </c>
      <c r="B55" s="143" t="s">
        <v>583</v>
      </c>
      <c r="C55" s="143" t="s">
        <v>351</v>
      </c>
      <c r="D55" s="143" t="s">
        <v>352</v>
      </c>
      <c r="E55" s="143" t="s">
        <v>101</v>
      </c>
      <c r="F55" s="143" t="s">
        <v>101</v>
      </c>
      <c r="G55" s="143" t="s">
        <v>65</v>
      </c>
      <c r="H55" s="143"/>
      <c r="I55" s="143"/>
      <c r="J55" s="143"/>
      <c r="K55" s="143">
        <v>0</v>
      </c>
      <c r="L55" s="143">
        <v>0</v>
      </c>
      <c r="M55" s="143"/>
      <c r="N55" s="143">
        <v>0</v>
      </c>
      <c r="O55" s="143">
        <v>0</v>
      </c>
      <c r="P55" s="143">
        <v>0</v>
      </c>
      <c r="Q55" s="143">
        <v>0</v>
      </c>
      <c r="R55" s="143">
        <v>0</v>
      </c>
      <c r="S55" s="143">
        <v>0</v>
      </c>
      <c r="T55" s="143">
        <v>0</v>
      </c>
      <c r="U55" s="143">
        <v>0</v>
      </c>
      <c r="V55" s="143">
        <v>0</v>
      </c>
      <c r="W55" s="143">
        <v>0</v>
      </c>
      <c r="X55" s="143">
        <v>0</v>
      </c>
      <c r="Y55" s="143">
        <v>0</v>
      </c>
      <c r="Z55" s="143"/>
      <c r="AA55" s="143">
        <v>0</v>
      </c>
      <c r="AB55" s="143">
        <v>0</v>
      </c>
      <c r="AC55" s="143">
        <v>0</v>
      </c>
      <c r="AD55" s="143">
        <v>0</v>
      </c>
      <c r="AE55" s="143">
        <v>0</v>
      </c>
      <c r="AF55" s="143">
        <v>0</v>
      </c>
      <c r="AG55" s="143">
        <v>0</v>
      </c>
      <c r="AH55" s="144" t="s">
        <v>354</v>
      </c>
      <c r="AI55" s="144" t="s">
        <v>355</v>
      </c>
      <c r="AJ55" s="144" t="s">
        <v>36</v>
      </c>
      <c r="AK55" s="144" t="s">
        <v>713</v>
      </c>
      <c r="AL55" s="144" t="s">
        <v>714</v>
      </c>
      <c r="AM55" s="144" t="s">
        <v>353</v>
      </c>
      <c r="AN55" s="144" t="s">
        <v>104</v>
      </c>
      <c r="AO55" s="144" t="s">
        <v>712</v>
      </c>
      <c r="AP55" s="144"/>
      <c r="AQ55" s="34"/>
      <c r="AR55" s="36">
        <f>VLOOKUP($C55,工资表明细!$C$2:$Q$190,14,0)</f>
        <v>15000</v>
      </c>
      <c r="AS55" s="36">
        <f>VLOOKUP($C55,工资表明细!$C$2:$Q$190,15,0)</f>
        <v>0</v>
      </c>
      <c r="AT55" s="36">
        <f>SUMIFS(其他补发!H:H,其他补发!B:B,C55)</f>
        <v>0</v>
      </c>
      <c r="AU55" s="36">
        <f>ROUND((AR55+AS55+AT55)/21.75*(H55+O55+P55*0.3+AA55),2)-VLOOKUP(C55,工资表明细!$C$2:$U$190,19,0)</f>
        <v>0</v>
      </c>
      <c r="AV55" s="36">
        <f>ROUND(AR55/21.75/8*2*(K55+L55*3/2),2)+SUMIFS(加班费!H:H,加班费!D:D,C55)-VLOOKUP(C55,工资表明细!$C$2:$W$190,21,0)</f>
        <v>0</v>
      </c>
      <c r="AW55" s="36">
        <f t="shared" si="0"/>
        <v>0</v>
      </c>
      <c r="AX55" s="58">
        <f t="shared" si="1"/>
        <v>0</v>
      </c>
      <c r="AY55" s="58">
        <f t="shared" si="2"/>
        <v>1</v>
      </c>
      <c r="AZ55" s="58">
        <f t="shared" si="3"/>
        <v>1</v>
      </c>
      <c r="BA55" s="34" t="str">
        <f>VLOOKUP(C55,工资表明细!$C$2:$P$223,13,0)</f>
        <v>6214833687381528</v>
      </c>
      <c r="BB55" s="34" t="b">
        <f t="shared" si="4"/>
        <v>1</v>
      </c>
      <c r="BC55" s="58">
        <f t="shared" si="5"/>
        <v>0</v>
      </c>
    </row>
    <row r="56" spans="1:55">
      <c r="A56" s="142">
        <f t="shared" si="11"/>
        <v>54</v>
      </c>
      <c r="B56" s="143" t="s">
        <v>583</v>
      </c>
      <c r="C56" s="143" t="s">
        <v>360</v>
      </c>
      <c r="D56" s="143" t="s">
        <v>361</v>
      </c>
      <c r="E56" s="143" t="s">
        <v>101</v>
      </c>
      <c r="F56" s="143" t="s">
        <v>101</v>
      </c>
      <c r="G56" s="143" t="s">
        <v>69</v>
      </c>
      <c r="H56" s="143"/>
      <c r="I56" s="143"/>
      <c r="J56" s="143"/>
      <c r="K56" s="143">
        <v>0</v>
      </c>
      <c r="L56" s="143">
        <v>0</v>
      </c>
      <c r="M56" s="143"/>
      <c r="N56" s="143">
        <v>0</v>
      </c>
      <c r="O56" s="143">
        <v>0</v>
      </c>
      <c r="P56" s="143">
        <v>0</v>
      </c>
      <c r="Q56" s="143">
        <v>0</v>
      </c>
      <c r="R56" s="143">
        <v>0</v>
      </c>
      <c r="S56" s="143">
        <v>0</v>
      </c>
      <c r="T56" s="143">
        <v>0</v>
      </c>
      <c r="U56" s="143">
        <v>0</v>
      </c>
      <c r="V56" s="143">
        <v>0</v>
      </c>
      <c r="W56" s="143">
        <v>0</v>
      </c>
      <c r="X56" s="143">
        <v>0</v>
      </c>
      <c r="Y56" s="143">
        <v>0</v>
      </c>
      <c r="Z56" s="143"/>
      <c r="AA56" s="143">
        <v>0</v>
      </c>
      <c r="AB56" s="143">
        <v>0</v>
      </c>
      <c r="AC56" s="143">
        <v>0</v>
      </c>
      <c r="AD56" s="143">
        <v>0</v>
      </c>
      <c r="AE56" s="143">
        <v>0</v>
      </c>
      <c r="AF56" s="143">
        <v>0</v>
      </c>
      <c r="AG56" s="143">
        <v>0</v>
      </c>
      <c r="AH56" s="144" t="s">
        <v>362</v>
      </c>
      <c r="AI56" s="144" t="s">
        <v>363</v>
      </c>
      <c r="AJ56" s="144" t="s">
        <v>36</v>
      </c>
      <c r="AK56" s="144" t="s">
        <v>715</v>
      </c>
      <c r="AL56" s="144" t="s">
        <v>716</v>
      </c>
      <c r="AM56" s="144" t="s">
        <v>172</v>
      </c>
      <c r="AN56" s="144" t="s">
        <v>104</v>
      </c>
      <c r="AO56" s="144" t="s">
        <v>717</v>
      </c>
      <c r="AP56" s="144"/>
      <c r="AQ56" s="34"/>
      <c r="AR56" s="36">
        <f>VLOOKUP($C56,工资表明细!$C$2:$Q$190,14,0)</f>
        <v>30000</v>
      </c>
      <c r="AS56" s="36">
        <f>VLOOKUP($C56,工资表明细!$C$2:$Q$190,15,0)</f>
        <v>0</v>
      </c>
      <c r="AT56" s="36">
        <f>SUMIFS(其他补发!H:H,其他补发!B:B,C56)</f>
        <v>0</v>
      </c>
      <c r="AU56" s="36">
        <f>ROUND((AR56+AS56+AT56)/21.75*(H56+O56+P56*0.3+AA56),2)-VLOOKUP(C56,工资表明细!$C$2:$U$190,19,0)</f>
        <v>0</v>
      </c>
      <c r="AV56" s="36">
        <f>ROUND(AR56/21.75/8*2*(K56+L56*3/2),2)+SUMIFS(加班费!H:H,加班费!D:D,C56)-VLOOKUP(C56,工资表明细!$C$2:$W$190,21,0)</f>
        <v>0</v>
      </c>
      <c r="AW56" s="36">
        <f t="shared" si="0"/>
        <v>0</v>
      </c>
      <c r="AX56" s="58">
        <f t="shared" si="1"/>
        <v>0</v>
      </c>
      <c r="AY56" s="58">
        <f t="shared" si="2"/>
        <v>1</v>
      </c>
      <c r="AZ56" s="58">
        <f t="shared" si="3"/>
        <v>1</v>
      </c>
      <c r="BA56" s="34" t="str">
        <f>VLOOKUP(C56,工资表明细!$C$2:$P$223,13,0)</f>
        <v>6214831214375492</v>
      </c>
      <c r="BB56" s="34" t="b">
        <f t="shared" si="4"/>
        <v>1</v>
      </c>
      <c r="BC56" s="58">
        <f t="shared" si="5"/>
        <v>0</v>
      </c>
    </row>
    <row r="57" spans="1:55">
      <c r="A57" s="142">
        <f t="shared" si="11"/>
        <v>55</v>
      </c>
      <c r="B57" s="143" t="s">
        <v>583</v>
      </c>
      <c r="C57" s="143" t="s">
        <v>364</v>
      </c>
      <c r="D57" s="143" t="s">
        <v>365</v>
      </c>
      <c r="E57" s="143" t="s">
        <v>101</v>
      </c>
      <c r="F57" s="143" t="s">
        <v>101</v>
      </c>
      <c r="G57" s="143" t="s">
        <v>67</v>
      </c>
      <c r="H57" s="143"/>
      <c r="I57" s="143"/>
      <c r="J57" s="143"/>
      <c r="K57" s="143">
        <v>0</v>
      </c>
      <c r="L57" s="143">
        <v>0</v>
      </c>
      <c r="M57" s="143"/>
      <c r="N57" s="143">
        <v>0</v>
      </c>
      <c r="O57" s="143">
        <v>0</v>
      </c>
      <c r="P57" s="143">
        <v>0</v>
      </c>
      <c r="Q57" s="143">
        <v>0</v>
      </c>
      <c r="R57" s="143">
        <v>0</v>
      </c>
      <c r="S57" s="143">
        <v>0</v>
      </c>
      <c r="T57" s="143">
        <v>0</v>
      </c>
      <c r="U57" s="143">
        <v>0</v>
      </c>
      <c r="V57" s="143">
        <v>0</v>
      </c>
      <c r="W57" s="143">
        <v>0</v>
      </c>
      <c r="X57" s="143">
        <v>0</v>
      </c>
      <c r="Y57" s="143">
        <v>0</v>
      </c>
      <c r="Z57" s="143"/>
      <c r="AA57" s="143">
        <v>0</v>
      </c>
      <c r="AB57" s="143">
        <v>0</v>
      </c>
      <c r="AC57" s="143">
        <v>0</v>
      </c>
      <c r="AD57" s="143">
        <v>0</v>
      </c>
      <c r="AE57" s="143">
        <v>0</v>
      </c>
      <c r="AF57" s="143">
        <v>0</v>
      </c>
      <c r="AG57" s="143">
        <v>0</v>
      </c>
      <c r="AH57" s="144" t="s">
        <v>367</v>
      </c>
      <c r="AI57" s="144" t="s">
        <v>368</v>
      </c>
      <c r="AJ57" s="144" t="s">
        <v>36</v>
      </c>
      <c r="AK57" s="144" t="s">
        <v>718</v>
      </c>
      <c r="AL57" s="144" t="s">
        <v>719</v>
      </c>
      <c r="AM57" s="144" t="s">
        <v>366</v>
      </c>
      <c r="AN57" s="144" t="s">
        <v>104</v>
      </c>
      <c r="AO57" s="144" t="s">
        <v>717</v>
      </c>
      <c r="AP57" s="144"/>
      <c r="AQ57" s="34"/>
      <c r="AR57" s="36">
        <f>VLOOKUP($C57,工资表明细!$C$2:$Q$190,14,0)</f>
        <v>20000</v>
      </c>
      <c r="AS57" s="36">
        <f>VLOOKUP($C57,工资表明细!$C$2:$Q$190,15,0)</f>
        <v>0</v>
      </c>
      <c r="AT57" s="36">
        <f>SUMIFS(其他补发!H:H,其他补发!B:B,C57)</f>
        <v>0</v>
      </c>
      <c r="AU57" s="36">
        <f>ROUND((AR57+AS57+AT57)/21.75*(H57+O57+P57*0.3+AA57),2)-VLOOKUP(C57,工资表明细!$C$2:$U$190,19,0)</f>
        <v>0</v>
      </c>
      <c r="AV57" s="36">
        <f>ROUND(AR57/21.75/8*2*(K57+L57*3/2),2)+SUMIFS(加班费!H:H,加班费!D:D,C57)-VLOOKUP(C57,工资表明细!$C$2:$W$190,21,0)</f>
        <v>0</v>
      </c>
      <c r="AW57" s="36">
        <f t="shared" si="0"/>
        <v>0</v>
      </c>
      <c r="AX57" s="58">
        <f t="shared" si="1"/>
        <v>0</v>
      </c>
      <c r="AY57" s="58">
        <f t="shared" si="2"/>
        <v>1</v>
      </c>
      <c r="AZ57" s="58">
        <f t="shared" si="3"/>
        <v>1</v>
      </c>
      <c r="BA57" s="34" t="str">
        <f>VLOOKUP(C57,工资表明细!$C$2:$P$223,13,0)</f>
        <v>6214836553211547</v>
      </c>
      <c r="BB57" s="34" t="b">
        <f t="shared" si="4"/>
        <v>1</v>
      </c>
      <c r="BC57" s="58">
        <f t="shared" si="5"/>
        <v>0</v>
      </c>
    </row>
    <row r="58" spans="1:55">
      <c r="A58" s="142">
        <f t="shared" ref="A58:A67" si="12">ROW()-2</f>
        <v>56</v>
      </c>
      <c r="B58" s="143" t="s">
        <v>583</v>
      </c>
      <c r="C58" s="143" t="s">
        <v>369</v>
      </c>
      <c r="D58" s="143" t="s">
        <v>370</v>
      </c>
      <c r="E58" s="143" t="s">
        <v>101</v>
      </c>
      <c r="F58" s="143" t="s">
        <v>101</v>
      </c>
      <c r="G58" s="143" t="s">
        <v>65</v>
      </c>
      <c r="H58" s="143"/>
      <c r="I58" s="143"/>
      <c r="J58" s="143"/>
      <c r="K58" s="143">
        <v>0</v>
      </c>
      <c r="L58" s="143">
        <v>0</v>
      </c>
      <c r="M58" s="143"/>
      <c r="N58" s="143">
        <v>0</v>
      </c>
      <c r="O58" s="143">
        <v>0</v>
      </c>
      <c r="P58" s="143">
        <v>0</v>
      </c>
      <c r="Q58" s="143">
        <v>0</v>
      </c>
      <c r="R58" s="143">
        <v>0</v>
      </c>
      <c r="S58" s="143">
        <v>0</v>
      </c>
      <c r="T58" s="143">
        <v>0</v>
      </c>
      <c r="U58" s="143">
        <v>0</v>
      </c>
      <c r="V58" s="143">
        <v>0</v>
      </c>
      <c r="W58" s="143">
        <v>0</v>
      </c>
      <c r="X58" s="143">
        <v>0</v>
      </c>
      <c r="Y58" s="143">
        <v>0</v>
      </c>
      <c r="Z58" s="143"/>
      <c r="AA58" s="143">
        <v>0</v>
      </c>
      <c r="AB58" s="143">
        <v>0</v>
      </c>
      <c r="AC58" s="143">
        <v>0</v>
      </c>
      <c r="AD58" s="143">
        <v>0</v>
      </c>
      <c r="AE58" s="143">
        <v>0</v>
      </c>
      <c r="AF58" s="143">
        <v>0</v>
      </c>
      <c r="AG58" s="143">
        <v>0</v>
      </c>
      <c r="AH58" s="144" t="s">
        <v>372</v>
      </c>
      <c r="AI58" s="144" t="s">
        <v>373</v>
      </c>
      <c r="AJ58" s="144" t="s">
        <v>36</v>
      </c>
      <c r="AK58" s="144" t="s">
        <v>720</v>
      </c>
      <c r="AL58" s="144" t="s">
        <v>721</v>
      </c>
      <c r="AM58" s="144" t="s">
        <v>371</v>
      </c>
      <c r="AN58" s="144" t="s">
        <v>104</v>
      </c>
      <c r="AO58" s="144" t="s">
        <v>722</v>
      </c>
      <c r="AP58" s="144"/>
      <c r="AQ58" s="34"/>
      <c r="AR58" s="36">
        <f>VLOOKUP($C58,工资表明细!$C$2:$Q$190,14,0)</f>
        <v>20000</v>
      </c>
      <c r="AS58" s="36">
        <f>VLOOKUP($C58,工资表明细!$C$2:$Q$190,15,0)</f>
        <v>0</v>
      </c>
      <c r="AT58" s="36">
        <f>SUMIFS(其他补发!H:H,其他补发!B:B,C58)</f>
        <v>0</v>
      </c>
      <c r="AU58" s="36">
        <f>ROUND((AR58+AS58+AT58)/21.75*(H58+O58+P58*0.3+AA58),2)-VLOOKUP(C58,工资表明细!$C$2:$U$190,19,0)</f>
        <v>0</v>
      </c>
      <c r="AV58" s="36">
        <f>ROUND(AR58/21.75/8*2*(K58+L58*3/2),2)+SUMIFS(加班费!H:H,加班费!D:D,C58)-VLOOKUP(C58,工资表明细!$C$2:$W$190,21,0)</f>
        <v>0</v>
      </c>
      <c r="AW58" s="36">
        <f t="shared" si="0"/>
        <v>0</v>
      </c>
      <c r="AX58" s="58">
        <f t="shared" si="1"/>
        <v>0</v>
      </c>
      <c r="AY58" s="58">
        <f t="shared" si="2"/>
        <v>1</v>
      </c>
      <c r="AZ58" s="58">
        <f t="shared" si="3"/>
        <v>1</v>
      </c>
      <c r="BA58" s="34" t="str">
        <f>VLOOKUP(C58,工资表明细!$C$2:$P$223,13,0)</f>
        <v>6214832050437123</v>
      </c>
      <c r="BB58" s="34" t="b">
        <f t="shared" si="4"/>
        <v>1</v>
      </c>
      <c r="BC58" s="58">
        <f t="shared" si="5"/>
        <v>0</v>
      </c>
    </row>
    <row r="59" spans="1:55">
      <c r="A59" s="142">
        <f t="shared" si="12"/>
        <v>57</v>
      </c>
      <c r="B59" s="143" t="s">
        <v>583</v>
      </c>
      <c r="C59" s="143" t="s">
        <v>379</v>
      </c>
      <c r="D59" s="143" t="s">
        <v>380</v>
      </c>
      <c r="E59" s="143" t="s">
        <v>101</v>
      </c>
      <c r="F59" s="143" t="s">
        <v>101</v>
      </c>
      <c r="G59" s="143" t="s">
        <v>69</v>
      </c>
      <c r="H59" s="143"/>
      <c r="I59" s="143"/>
      <c r="J59" s="143"/>
      <c r="K59" s="143">
        <v>0</v>
      </c>
      <c r="L59" s="143">
        <v>0</v>
      </c>
      <c r="M59" s="143"/>
      <c r="N59" s="143">
        <v>0</v>
      </c>
      <c r="O59" s="143">
        <v>0</v>
      </c>
      <c r="P59" s="143">
        <v>0</v>
      </c>
      <c r="Q59" s="143">
        <v>0</v>
      </c>
      <c r="R59" s="143">
        <v>0</v>
      </c>
      <c r="S59" s="143">
        <v>0</v>
      </c>
      <c r="T59" s="143">
        <v>0</v>
      </c>
      <c r="U59" s="143">
        <v>0</v>
      </c>
      <c r="V59" s="143">
        <v>0</v>
      </c>
      <c r="W59" s="143">
        <v>0</v>
      </c>
      <c r="X59" s="143">
        <v>0</v>
      </c>
      <c r="Y59" s="143">
        <v>0</v>
      </c>
      <c r="Z59" s="143"/>
      <c r="AA59" s="143">
        <v>0</v>
      </c>
      <c r="AB59" s="143">
        <v>0</v>
      </c>
      <c r="AC59" s="143">
        <v>0</v>
      </c>
      <c r="AD59" s="143">
        <v>0</v>
      </c>
      <c r="AE59" s="143">
        <v>0</v>
      </c>
      <c r="AF59" s="143">
        <v>0</v>
      </c>
      <c r="AG59" s="143">
        <v>0</v>
      </c>
      <c r="AH59" s="144" t="s">
        <v>382</v>
      </c>
      <c r="AI59" s="144" t="s">
        <v>383</v>
      </c>
      <c r="AJ59" s="144" t="s">
        <v>36</v>
      </c>
      <c r="AK59" s="144" t="s">
        <v>723</v>
      </c>
      <c r="AL59" s="144" t="s">
        <v>724</v>
      </c>
      <c r="AM59" s="144" t="s">
        <v>381</v>
      </c>
      <c r="AN59" s="144" t="s">
        <v>104</v>
      </c>
      <c r="AO59" s="144" t="s">
        <v>725</v>
      </c>
      <c r="AP59" s="144"/>
      <c r="AQ59" s="34"/>
      <c r="AR59" s="36">
        <f>VLOOKUP($C59,工资表明细!$C$2:$Q$190,14,0)</f>
        <v>13000</v>
      </c>
      <c r="AS59" s="36">
        <f>VLOOKUP($C59,工资表明细!$C$2:$Q$190,15,0)</f>
        <v>0</v>
      </c>
      <c r="AT59" s="36">
        <f>SUMIFS(其他补发!H:H,其他补发!B:B,C59)</f>
        <v>0</v>
      </c>
      <c r="AU59" s="36">
        <f>ROUND((AR59+AS59+AT59)/21.75*(H59+O59+P59*0.3+AA59),2)-VLOOKUP(C59,工资表明细!$C$2:$U$190,19,0)</f>
        <v>0</v>
      </c>
      <c r="AV59" s="36">
        <f>ROUND(AR59/21.75/8*2*(K59+L59*3/2),2)+SUMIFS(加班费!H:H,加班费!D:D,C59)-VLOOKUP(C59,工资表明细!$C$2:$W$190,21,0)</f>
        <v>0</v>
      </c>
      <c r="AW59" s="36">
        <f t="shared" si="0"/>
        <v>0</v>
      </c>
      <c r="AX59" s="58">
        <f t="shared" si="1"/>
        <v>0</v>
      </c>
      <c r="AY59" s="58">
        <f t="shared" si="2"/>
        <v>1</v>
      </c>
      <c r="AZ59" s="58">
        <f t="shared" si="3"/>
        <v>1</v>
      </c>
      <c r="BA59" s="34" t="str">
        <f>VLOOKUP(C59,工资表明细!$C$2:$P$223,13,0)</f>
        <v>6214831866715169</v>
      </c>
      <c r="BB59" s="34" t="b">
        <f t="shared" si="4"/>
        <v>1</v>
      </c>
      <c r="BC59" s="58">
        <f t="shared" si="5"/>
        <v>0</v>
      </c>
    </row>
    <row r="60" spans="1:55">
      <c r="A60" s="142">
        <f t="shared" si="12"/>
        <v>58</v>
      </c>
      <c r="B60" s="143" t="s">
        <v>583</v>
      </c>
      <c r="C60" s="143" t="s">
        <v>384</v>
      </c>
      <c r="D60" s="143" t="s">
        <v>385</v>
      </c>
      <c r="E60" s="143" t="s">
        <v>101</v>
      </c>
      <c r="F60" s="143" t="s">
        <v>101</v>
      </c>
      <c r="G60" s="143" t="s">
        <v>69</v>
      </c>
      <c r="H60" s="143"/>
      <c r="I60" s="143"/>
      <c r="J60" s="143"/>
      <c r="K60" s="143">
        <v>0</v>
      </c>
      <c r="L60" s="143">
        <v>0</v>
      </c>
      <c r="M60" s="143"/>
      <c r="N60" s="143">
        <v>0</v>
      </c>
      <c r="O60" s="143">
        <v>0</v>
      </c>
      <c r="P60" s="143">
        <v>0</v>
      </c>
      <c r="Q60" s="143">
        <v>0</v>
      </c>
      <c r="R60" s="143">
        <v>0</v>
      </c>
      <c r="S60" s="143">
        <v>0</v>
      </c>
      <c r="T60" s="143">
        <v>0</v>
      </c>
      <c r="U60" s="143">
        <v>0</v>
      </c>
      <c r="V60" s="143">
        <v>0</v>
      </c>
      <c r="W60" s="143">
        <v>0</v>
      </c>
      <c r="X60" s="143">
        <v>0</v>
      </c>
      <c r="Y60" s="143">
        <v>0</v>
      </c>
      <c r="Z60" s="143"/>
      <c r="AA60" s="143">
        <v>0</v>
      </c>
      <c r="AB60" s="143">
        <v>0</v>
      </c>
      <c r="AC60" s="143">
        <v>0</v>
      </c>
      <c r="AD60" s="143">
        <v>0</v>
      </c>
      <c r="AE60" s="143">
        <v>0</v>
      </c>
      <c r="AF60" s="143">
        <v>0</v>
      </c>
      <c r="AG60" s="143">
        <v>0</v>
      </c>
      <c r="AH60" s="144" t="s">
        <v>386</v>
      </c>
      <c r="AI60" s="144" t="s">
        <v>387</v>
      </c>
      <c r="AJ60" s="144" t="s">
        <v>38</v>
      </c>
      <c r="AK60" s="144" t="s">
        <v>726</v>
      </c>
      <c r="AL60" s="144" t="s">
        <v>727</v>
      </c>
      <c r="AM60" s="144" t="s">
        <v>348</v>
      </c>
      <c r="AN60" s="144" t="s">
        <v>104</v>
      </c>
      <c r="AO60" s="144" t="s">
        <v>728</v>
      </c>
      <c r="AP60" s="144"/>
      <c r="AQ60" s="34"/>
      <c r="AR60" s="36">
        <f>VLOOKUP($C60,工资表明细!$C$2:$Q$190,14,0)</f>
        <v>18000</v>
      </c>
      <c r="AS60" s="36">
        <f>VLOOKUP($C60,工资表明细!$C$2:$Q$190,15,0)</f>
        <v>0</v>
      </c>
      <c r="AT60" s="36">
        <f>SUMIFS(其他补发!H:H,其他补发!B:B,C60)</f>
        <v>0</v>
      </c>
      <c r="AU60" s="36">
        <f>ROUND((AR60+AS60+AT60)/21.75*(H60+O60+P60*0.3+AA60),2)-VLOOKUP(C60,工资表明细!$C$2:$U$190,19,0)</f>
        <v>0</v>
      </c>
      <c r="AV60" s="36">
        <f>ROUND(AR60/21.75/8*2*(K60+L60*3/2),2)+SUMIFS(加班费!H:H,加班费!D:D,C60)-VLOOKUP(C60,工资表明细!$C$2:$W$190,21,0)</f>
        <v>0</v>
      </c>
      <c r="AW60" s="36">
        <f t="shared" si="0"/>
        <v>0</v>
      </c>
      <c r="AX60" s="58">
        <f t="shared" si="1"/>
        <v>0</v>
      </c>
      <c r="AY60" s="58">
        <f t="shared" si="2"/>
        <v>1</v>
      </c>
      <c r="AZ60" s="58">
        <f t="shared" si="3"/>
        <v>1</v>
      </c>
      <c r="BA60" s="34" t="str">
        <f>VLOOKUP(C60,工资表明细!$C$2:$P$223,13,0)</f>
        <v>6214837858831823</v>
      </c>
      <c r="BB60" s="34" t="b">
        <f t="shared" si="4"/>
        <v>1</v>
      </c>
      <c r="BC60" s="58">
        <f t="shared" si="5"/>
        <v>0</v>
      </c>
    </row>
    <row r="61" spans="1:55">
      <c r="A61" s="142">
        <f t="shared" si="12"/>
        <v>59</v>
      </c>
      <c r="B61" s="143" t="s">
        <v>583</v>
      </c>
      <c r="C61" s="143" t="s">
        <v>374</v>
      </c>
      <c r="D61" s="143" t="s">
        <v>375</v>
      </c>
      <c r="E61" s="143" t="s">
        <v>101</v>
      </c>
      <c r="F61" s="143" t="s">
        <v>101</v>
      </c>
      <c r="G61" s="143" t="s">
        <v>65</v>
      </c>
      <c r="H61" s="143"/>
      <c r="I61" s="143"/>
      <c r="J61" s="143"/>
      <c r="K61" s="143">
        <v>0</v>
      </c>
      <c r="L61" s="143">
        <v>0</v>
      </c>
      <c r="M61" s="143"/>
      <c r="N61" s="143">
        <v>0</v>
      </c>
      <c r="O61" s="143">
        <v>0</v>
      </c>
      <c r="P61" s="143">
        <v>0</v>
      </c>
      <c r="Q61" s="143">
        <v>0</v>
      </c>
      <c r="R61" s="143">
        <v>0</v>
      </c>
      <c r="S61" s="143">
        <v>0</v>
      </c>
      <c r="T61" s="143">
        <v>0</v>
      </c>
      <c r="U61" s="143">
        <v>0</v>
      </c>
      <c r="V61" s="143">
        <v>0</v>
      </c>
      <c r="W61" s="143">
        <v>0</v>
      </c>
      <c r="X61" s="143">
        <v>0</v>
      </c>
      <c r="Y61" s="143">
        <v>0</v>
      </c>
      <c r="Z61" s="143"/>
      <c r="AA61" s="143">
        <v>0</v>
      </c>
      <c r="AB61" s="143">
        <v>0</v>
      </c>
      <c r="AC61" s="143">
        <v>0</v>
      </c>
      <c r="AD61" s="143">
        <v>0</v>
      </c>
      <c r="AE61" s="143">
        <v>0</v>
      </c>
      <c r="AF61" s="143">
        <v>0</v>
      </c>
      <c r="AG61" s="143">
        <v>0</v>
      </c>
      <c r="AH61" s="144" t="s">
        <v>377</v>
      </c>
      <c r="AI61" s="144" t="s">
        <v>378</v>
      </c>
      <c r="AJ61" s="144" t="s">
        <v>36</v>
      </c>
      <c r="AK61" s="144" t="s">
        <v>729</v>
      </c>
      <c r="AL61" s="144" t="s">
        <v>730</v>
      </c>
      <c r="AM61" s="144" t="s">
        <v>376</v>
      </c>
      <c r="AN61" s="144" t="s">
        <v>104</v>
      </c>
      <c r="AO61" s="144" t="s">
        <v>725</v>
      </c>
      <c r="AP61" s="144"/>
      <c r="AQ61" s="34"/>
      <c r="AR61" s="36">
        <f>VLOOKUP($C61,工资表明细!$C$2:$Q$190,14,0)</f>
        <v>10000</v>
      </c>
      <c r="AS61" s="36">
        <f>VLOOKUP($C61,工资表明细!$C$2:$Q$190,15,0)</f>
        <v>0</v>
      </c>
      <c r="AT61" s="36">
        <f>SUMIFS(其他补发!H:H,其他补发!B:B,C61)</f>
        <v>0</v>
      </c>
      <c r="AU61" s="36">
        <f>ROUND((AR61+AS61+AT61)/21.75*(H61+O61+P61*0.3+AA61),2)-VLOOKUP(C61,工资表明细!$C$2:$U$190,19,0)</f>
        <v>0</v>
      </c>
      <c r="AV61" s="36">
        <f>ROUND(AR61/21.75/8*2*(K61+L61*3/2),2)+SUMIFS(加班费!H:H,加班费!D:D,C61)-VLOOKUP(C61,工资表明细!$C$2:$W$190,21,0)</f>
        <v>0</v>
      </c>
      <c r="AW61" s="36">
        <f t="shared" si="0"/>
        <v>0</v>
      </c>
      <c r="AX61" s="58">
        <f t="shared" si="1"/>
        <v>0</v>
      </c>
      <c r="AY61" s="58">
        <f t="shared" si="2"/>
        <v>1</v>
      </c>
      <c r="AZ61" s="58">
        <f t="shared" si="3"/>
        <v>1</v>
      </c>
      <c r="BA61" s="34" t="str">
        <f>VLOOKUP(C61,工资表明细!$C$2:$P$223,13,0)</f>
        <v>6214851804984065</v>
      </c>
      <c r="BB61" s="34" t="b">
        <f t="shared" si="4"/>
        <v>1</v>
      </c>
      <c r="BC61" s="58">
        <f t="shared" si="5"/>
        <v>0</v>
      </c>
    </row>
    <row r="62" spans="1:55">
      <c r="A62" s="142">
        <f t="shared" si="12"/>
        <v>60</v>
      </c>
      <c r="B62" s="143" t="s">
        <v>583</v>
      </c>
      <c r="C62" s="143" t="s">
        <v>388</v>
      </c>
      <c r="D62" s="143" t="s">
        <v>389</v>
      </c>
      <c r="E62" s="143" t="s">
        <v>101</v>
      </c>
      <c r="F62" s="143" t="s">
        <v>101</v>
      </c>
      <c r="G62" s="143" t="s">
        <v>65</v>
      </c>
      <c r="H62" s="143"/>
      <c r="I62" s="143"/>
      <c r="J62" s="143"/>
      <c r="K62" s="143">
        <v>0</v>
      </c>
      <c r="L62" s="143">
        <v>0</v>
      </c>
      <c r="M62" s="143"/>
      <c r="N62" s="143">
        <v>0</v>
      </c>
      <c r="O62" s="143">
        <v>0</v>
      </c>
      <c r="P62" s="143">
        <v>0</v>
      </c>
      <c r="Q62" s="143">
        <v>0</v>
      </c>
      <c r="R62" s="143">
        <v>0</v>
      </c>
      <c r="S62" s="143">
        <v>0</v>
      </c>
      <c r="T62" s="143">
        <v>0</v>
      </c>
      <c r="U62" s="143">
        <v>0</v>
      </c>
      <c r="V62" s="143">
        <v>0</v>
      </c>
      <c r="W62" s="143">
        <v>0</v>
      </c>
      <c r="X62" s="143">
        <v>0</v>
      </c>
      <c r="Y62" s="143">
        <v>0</v>
      </c>
      <c r="Z62" s="143"/>
      <c r="AA62" s="143">
        <v>0</v>
      </c>
      <c r="AB62" s="143">
        <v>0</v>
      </c>
      <c r="AC62" s="143">
        <v>0</v>
      </c>
      <c r="AD62" s="143">
        <v>0</v>
      </c>
      <c r="AE62" s="143">
        <v>0</v>
      </c>
      <c r="AF62" s="143">
        <v>0</v>
      </c>
      <c r="AG62" s="143">
        <v>0</v>
      </c>
      <c r="AH62" s="144" t="s">
        <v>391</v>
      </c>
      <c r="AI62" s="144" t="s">
        <v>392</v>
      </c>
      <c r="AJ62" s="144" t="s">
        <v>36</v>
      </c>
      <c r="AK62" s="144" t="s">
        <v>731</v>
      </c>
      <c r="AL62" s="144" t="s">
        <v>732</v>
      </c>
      <c r="AM62" s="144" t="s">
        <v>390</v>
      </c>
      <c r="AN62" s="144" t="s">
        <v>104</v>
      </c>
      <c r="AO62" s="144" t="s">
        <v>733</v>
      </c>
      <c r="AP62" s="144"/>
      <c r="AQ62" s="34"/>
      <c r="AR62" s="36">
        <f>VLOOKUP($C62,工资表明细!$C$2:$Q$190,14,0)</f>
        <v>11000</v>
      </c>
      <c r="AS62" s="36">
        <f>VLOOKUP($C62,工资表明细!$C$2:$Q$190,15,0)</f>
        <v>0</v>
      </c>
      <c r="AT62" s="36">
        <f>SUMIFS(其他补发!H:H,其他补发!B:B,C62)</f>
        <v>0</v>
      </c>
      <c r="AU62" s="36">
        <f>ROUND((AR62+AS62+AT62)/21.75*(H62+O62+P62*0.3+AA62),2)-VLOOKUP(C62,工资表明细!$C$2:$U$190,19,0)</f>
        <v>0</v>
      </c>
      <c r="AV62" s="36">
        <f>ROUND(AR62/21.75/8*2*(K62+L62*3/2),2)+SUMIFS(加班费!H:H,加班费!D:D,C62)-VLOOKUP(C62,工资表明细!$C$2:$W$190,21,0)</f>
        <v>0</v>
      </c>
      <c r="AW62" s="36">
        <f t="shared" si="0"/>
        <v>0</v>
      </c>
      <c r="AX62" s="58">
        <f t="shared" si="1"/>
        <v>0</v>
      </c>
      <c r="AY62" s="58">
        <f t="shared" si="2"/>
        <v>1</v>
      </c>
      <c r="AZ62" s="58">
        <f t="shared" si="3"/>
        <v>1</v>
      </c>
      <c r="BA62" s="34" t="str">
        <f>VLOOKUP(C62,工资表明细!$C$2:$P$223,13,0)</f>
        <v>6214832063512359</v>
      </c>
      <c r="BB62" s="34" t="b">
        <f t="shared" si="4"/>
        <v>1</v>
      </c>
      <c r="BC62" s="58">
        <f t="shared" si="5"/>
        <v>0</v>
      </c>
    </row>
    <row r="63" spans="1:55">
      <c r="A63" s="142">
        <f t="shared" si="12"/>
        <v>61</v>
      </c>
      <c r="B63" s="143" t="s">
        <v>583</v>
      </c>
      <c r="C63" s="143" t="s">
        <v>393</v>
      </c>
      <c r="D63" s="143" t="s">
        <v>394</v>
      </c>
      <c r="E63" s="143" t="s">
        <v>101</v>
      </c>
      <c r="F63" s="143" t="s">
        <v>101</v>
      </c>
      <c r="G63" s="143" t="s">
        <v>68</v>
      </c>
      <c r="H63" s="143"/>
      <c r="I63" s="143"/>
      <c r="J63" s="143"/>
      <c r="K63" s="143">
        <v>0</v>
      </c>
      <c r="L63" s="143">
        <v>0</v>
      </c>
      <c r="M63" s="143"/>
      <c r="N63" s="143">
        <v>0</v>
      </c>
      <c r="O63" s="143">
        <v>0</v>
      </c>
      <c r="P63" s="143">
        <v>0</v>
      </c>
      <c r="Q63" s="143">
        <v>0</v>
      </c>
      <c r="R63" s="143">
        <v>0</v>
      </c>
      <c r="S63" s="143">
        <v>0</v>
      </c>
      <c r="T63" s="143">
        <v>0</v>
      </c>
      <c r="U63" s="143">
        <v>0</v>
      </c>
      <c r="V63" s="143">
        <v>0</v>
      </c>
      <c r="W63" s="143">
        <v>0</v>
      </c>
      <c r="X63" s="143">
        <v>0</v>
      </c>
      <c r="Y63" s="143">
        <v>0</v>
      </c>
      <c r="Z63" s="143"/>
      <c r="AA63" s="143">
        <v>0</v>
      </c>
      <c r="AB63" s="143">
        <v>0</v>
      </c>
      <c r="AC63" s="143">
        <v>0</v>
      </c>
      <c r="AD63" s="143">
        <v>0</v>
      </c>
      <c r="AE63" s="143">
        <v>0</v>
      </c>
      <c r="AF63" s="143">
        <v>0</v>
      </c>
      <c r="AG63" s="143">
        <v>0</v>
      </c>
      <c r="AH63" s="144" t="s">
        <v>396</v>
      </c>
      <c r="AI63" s="144" t="s">
        <v>397</v>
      </c>
      <c r="AJ63" s="144" t="s">
        <v>38</v>
      </c>
      <c r="AK63" s="144" t="s">
        <v>734</v>
      </c>
      <c r="AL63" s="144" t="s">
        <v>735</v>
      </c>
      <c r="AM63" s="144" t="s">
        <v>395</v>
      </c>
      <c r="AN63" s="144" t="s">
        <v>104</v>
      </c>
      <c r="AO63" s="144" t="s">
        <v>733</v>
      </c>
      <c r="AP63" s="144"/>
      <c r="AQ63" s="34"/>
      <c r="AR63" s="36">
        <f>VLOOKUP($C63,工资表明细!$C$2:$Q$190,14,0)</f>
        <v>15000</v>
      </c>
      <c r="AS63" s="36">
        <f>VLOOKUP($C63,工资表明细!$C$2:$Q$190,15,0)</f>
        <v>0</v>
      </c>
      <c r="AT63" s="36">
        <f>SUMIFS(其他补发!H:H,其他补发!B:B,C63)</f>
        <v>0</v>
      </c>
      <c r="AU63" s="36">
        <f>ROUND((AR63+AS63+AT63)/21.75*(H63+O63+P63*0.3+AA63),2)-VLOOKUP(C63,工资表明细!$C$2:$U$190,19,0)</f>
        <v>0</v>
      </c>
      <c r="AV63" s="36">
        <f>ROUND(AR63/21.75/8*2*(K63+L63*3/2),2)+SUMIFS(加班费!H:H,加班费!D:D,C63)-VLOOKUP(C63,工资表明细!$C$2:$W$190,21,0)</f>
        <v>0</v>
      </c>
      <c r="AW63" s="36">
        <f t="shared" si="0"/>
        <v>0</v>
      </c>
      <c r="AX63" s="58">
        <f t="shared" si="1"/>
        <v>0</v>
      </c>
      <c r="AY63" s="58">
        <f t="shared" si="2"/>
        <v>1</v>
      </c>
      <c r="AZ63" s="58">
        <f t="shared" si="3"/>
        <v>1</v>
      </c>
      <c r="BA63" s="34" t="str">
        <f>VLOOKUP(C63,工资表明细!$C$2:$P$223,13,0)</f>
        <v>625887816517631</v>
      </c>
      <c r="BB63" s="34" t="b">
        <f t="shared" si="4"/>
        <v>1</v>
      </c>
      <c r="BC63" s="58">
        <f t="shared" si="5"/>
        <v>0</v>
      </c>
    </row>
    <row r="64" spans="1:55">
      <c r="A64" s="142">
        <f t="shared" si="12"/>
        <v>62</v>
      </c>
      <c r="B64" s="143" t="s">
        <v>583</v>
      </c>
      <c r="C64" s="143" t="s">
        <v>402</v>
      </c>
      <c r="D64" s="143" t="s">
        <v>403</v>
      </c>
      <c r="E64" s="143" t="s">
        <v>101</v>
      </c>
      <c r="F64" s="143" t="s">
        <v>101</v>
      </c>
      <c r="G64" s="143" t="s">
        <v>69</v>
      </c>
      <c r="H64" s="143"/>
      <c r="I64" s="143"/>
      <c r="J64" s="143"/>
      <c r="K64" s="143">
        <v>0</v>
      </c>
      <c r="L64" s="143">
        <v>0</v>
      </c>
      <c r="M64" s="143"/>
      <c r="N64" s="143">
        <v>0</v>
      </c>
      <c r="O64" s="143">
        <v>0</v>
      </c>
      <c r="P64" s="143">
        <v>0</v>
      </c>
      <c r="Q64" s="143">
        <v>0</v>
      </c>
      <c r="R64" s="143">
        <v>0</v>
      </c>
      <c r="S64" s="143">
        <v>0</v>
      </c>
      <c r="T64" s="143">
        <v>0</v>
      </c>
      <c r="U64" s="143">
        <v>0</v>
      </c>
      <c r="V64" s="143">
        <v>0</v>
      </c>
      <c r="W64" s="143">
        <v>0</v>
      </c>
      <c r="X64" s="143">
        <v>0</v>
      </c>
      <c r="Y64" s="143">
        <v>0</v>
      </c>
      <c r="Z64" s="143"/>
      <c r="AA64" s="143">
        <v>0</v>
      </c>
      <c r="AB64" s="143">
        <v>0</v>
      </c>
      <c r="AC64" s="143">
        <v>0</v>
      </c>
      <c r="AD64" s="143">
        <v>0</v>
      </c>
      <c r="AE64" s="143">
        <v>0</v>
      </c>
      <c r="AF64" s="143">
        <v>0</v>
      </c>
      <c r="AG64" s="143">
        <v>0</v>
      </c>
      <c r="AH64" s="144" t="s">
        <v>404</v>
      </c>
      <c r="AI64" s="144" t="s">
        <v>405</v>
      </c>
      <c r="AJ64" s="144" t="s">
        <v>33</v>
      </c>
      <c r="AK64" s="144" t="s">
        <v>736</v>
      </c>
      <c r="AL64" s="144" t="s">
        <v>737</v>
      </c>
      <c r="AM64" s="144" t="s">
        <v>115</v>
      </c>
      <c r="AN64" s="144" t="s">
        <v>104</v>
      </c>
      <c r="AO64" s="144" t="s">
        <v>738</v>
      </c>
      <c r="AP64" s="144"/>
      <c r="AQ64" s="34"/>
      <c r="AR64" s="36">
        <f>VLOOKUP($C64,工资表明细!$C$2:$Q$190,14,0)</f>
        <v>28000</v>
      </c>
      <c r="AS64" s="36">
        <f>VLOOKUP($C64,工资表明细!$C$2:$Q$190,15,0)</f>
        <v>0</v>
      </c>
      <c r="AT64" s="36">
        <f>SUMIFS(其他补发!H:H,其他补发!B:B,C64)</f>
        <v>0</v>
      </c>
      <c r="AU64" s="36">
        <f>ROUND((AR64+AS64+AT64)/21.75*(H64+O64+P64*0.3+AA64),2)-VLOOKUP(C64,工资表明细!$C$2:$U$190,19,0)</f>
        <v>0</v>
      </c>
      <c r="AV64" s="36">
        <f>ROUND(AR64/21.75/8*2*(K64+L64*3/2),2)+SUMIFS(加班费!H:H,加班费!D:D,C64)-VLOOKUP(C64,工资表明细!$C$2:$W$190,21,0)</f>
        <v>0</v>
      </c>
      <c r="AW64" s="36">
        <f t="shared" si="0"/>
        <v>0</v>
      </c>
      <c r="AX64" s="58">
        <f t="shared" si="1"/>
        <v>0</v>
      </c>
      <c r="AY64" s="58">
        <f t="shared" si="2"/>
        <v>1</v>
      </c>
      <c r="AZ64" s="58">
        <f t="shared" si="3"/>
        <v>1</v>
      </c>
      <c r="BA64" s="34" t="str">
        <f>VLOOKUP(C64,工资表明细!$C$2:$P$223,13,0)</f>
        <v>6214866557730796</v>
      </c>
      <c r="BB64" s="34" t="b">
        <f t="shared" si="4"/>
        <v>1</v>
      </c>
      <c r="BC64" s="58">
        <f t="shared" si="5"/>
        <v>0</v>
      </c>
    </row>
    <row r="65" spans="1:55">
      <c r="A65" s="142">
        <f t="shared" si="12"/>
        <v>63</v>
      </c>
      <c r="B65" s="143" t="s">
        <v>583</v>
      </c>
      <c r="C65" s="143" t="s">
        <v>406</v>
      </c>
      <c r="D65" s="143" t="s">
        <v>407</v>
      </c>
      <c r="E65" s="143" t="s">
        <v>101</v>
      </c>
      <c r="F65" s="143" t="s">
        <v>101</v>
      </c>
      <c r="G65" s="143" t="s">
        <v>67</v>
      </c>
      <c r="H65" s="143"/>
      <c r="I65" s="143"/>
      <c r="J65" s="143"/>
      <c r="K65" s="143">
        <v>0</v>
      </c>
      <c r="L65" s="143">
        <v>0</v>
      </c>
      <c r="M65" s="143"/>
      <c r="N65" s="143">
        <v>0</v>
      </c>
      <c r="O65" s="143">
        <v>0</v>
      </c>
      <c r="P65" s="143">
        <v>0</v>
      </c>
      <c r="Q65" s="143">
        <v>0</v>
      </c>
      <c r="R65" s="143">
        <v>0</v>
      </c>
      <c r="S65" s="143">
        <v>0</v>
      </c>
      <c r="T65" s="143">
        <v>0</v>
      </c>
      <c r="U65" s="143">
        <v>0</v>
      </c>
      <c r="V65" s="143">
        <v>0</v>
      </c>
      <c r="W65" s="143">
        <v>0</v>
      </c>
      <c r="X65" s="143">
        <v>0</v>
      </c>
      <c r="Y65" s="143">
        <v>0</v>
      </c>
      <c r="Z65" s="143"/>
      <c r="AA65" s="143">
        <v>0</v>
      </c>
      <c r="AB65" s="143">
        <v>0</v>
      </c>
      <c r="AC65" s="143">
        <v>0</v>
      </c>
      <c r="AD65" s="143">
        <v>0</v>
      </c>
      <c r="AE65" s="143">
        <v>0</v>
      </c>
      <c r="AF65" s="143">
        <v>0</v>
      </c>
      <c r="AG65" s="143">
        <v>0</v>
      </c>
      <c r="AH65" s="144" t="s">
        <v>409</v>
      </c>
      <c r="AI65" s="144" t="s">
        <v>410</v>
      </c>
      <c r="AJ65" s="144" t="s">
        <v>36</v>
      </c>
      <c r="AK65" s="144" t="s">
        <v>739</v>
      </c>
      <c r="AL65" s="144" t="s">
        <v>740</v>
      </c>
      <c r="AM65" s="144" t="s">
        <v>408</v>
      </c>
      <c r="AN65" s="144" t="s">
        <v>104</v>
      </c>
      <c r="AO65" s="144" t="s">
        <v>741</v>
      </c>
      <c r="AP65" s="144"/>
      <c r="AQ65" s="34"/>
      <c r="AR65" s="36">
        <f>VLOOKUP($C65,工资表明细!$C$2:$Q$190,14,0)</f>
        <v>20000</v>
      </c>
      <c r="AS65" s="36">
        <f>VLOOKUP($C65,工资表明细!$C$2:$Q$190,15,0)</f>
        <v>0</v>
      </c>
      <c r="AT65" s="36">
        <f>SUMIFS(其他补发!H:H,其他补发!B:B,C65)</f>
        <v>0</v>
      </c>
      <c r="AU65" s="36">
        <f>ROUND((AR65+AS65+AT65)/21.75*(H65+O65+P65*0.3+AA65),2)-VLOOKUP(C65,工资表明细!$C$2:$U$190,19,0)</f>
        <v>0</v>
      </c>
      <c r="AV65" s="36">
        <f>ROUND(AR65/21.75/8*2*(K65+L65*3/2),2)+SUMIFS(加班费!H:H,加班费!D:D,C65)-VLOOKUP(C65,工资表明细!$C$2:$W$190,21,0)</f>
        <v>0</v>
      </c>
      <c r="AW65" s="36">
        <f t="shared" si="0"/>
        <v>0</v>
      </c>
      <c r="AX65" s="58">
        <f t="shared" si="1"/>
        <v>0</v>
      </c>
      <c r="AY65" s="58">
        <f t="shared" si="2"/>
        <v>1</v>
      </c>
      <c r="AZ65" s="58">
        <f t="shared" si="3"/>
        <v>1</v>
      </c>
      <c r="BA65" s="34" t="str">
        <f>VLOOKUP(C65,工资表明细!$C$2:$P$223,13,0)</f>
        <v>6226080031337782</v>
      </c>
      <c r="BB65" s="34" t="b">
        <f t="shared" si="4"/>
        <v>1</v>
      </c>
      <c r="BC65" s="58">
        <f t="shared" si="5"/>
        <v>0</v>
      </c>
    </row>
    <row r="66" spans="1:55">
      <c r="A66" s="142">
        <f t="shared" si="12"/>
        <v>64</v>
      </c>
      <c r="B66" s="143" t="s">
        <v>583</v>
      </c>
      <c r="C66" s="143" t="s">
        <v>411</v>
      </c>
      <c r="D66" s="143" t="s">
        <v>412</v>
      </c>
      <c r="E66" s="143" t="s">
        <v>101</v>
      </c>
      <c r="F66" s="143" t="s">
        <v>101</v>
      </c>
      <c r="G66" s="143" t="s">
        <v>64</v>
      </c>
      <c r="H66" s="143"/>
      <c r="I66" s="143"/>
      <c r="J66" s="143"/>
      <c r="K66" s="143">
        <v>0</v>
      </c>
      <c r="L66" s="143">
        <v>0</v>
      </c>
      <c r="M66" s="143"/>
      <c r="N66" s="143">
        <v>0</v>
      </c>
      <c r="O66" s="143">
        <v>0</v>
      </c>
      <c r="P66" s="143">
        <v>0</v>
      </c>
      <c r="Q66" s="143">
        <v>0</v>
      </c>
      <c r="R66" s="143">
        <v>0</v>
      </c>
      <c r="S66" s="143">
        <v>0</v>
      </c>
      <c r="T66" s="143">
        <v>0</v>
      </c>
      <c r="U66" s="143">
        <v>0</v>
      </c>
      <c r="V66" s="143">
        <v>0</v>
      </c>
      <c r="W66" s="143">
        <v>0</v>
      </c>
      <c r="X66" s="143">
        <v>0</v>
      </c>
      <c r="Y66" s="143">
        <v>0</v>
      </c>
      <c r="Z66" s="143"/>
      <c r="AA66" s="143">
        <v>0</v>
      </c>
      <c r="AB66" s="143">
        <v>0</v>
      </c>
      <c r="AC66" s="143">
        <v>0</v>
      </c>
      <c r="AD66" s="143">
        <v>0</v>
      </c>
      <c r="AE66" s="143">
        <v>0</v>
      </c>
      <c r="AF66" s="143">
        <v>0</v>
      </c>
      <c r="AG66" s="143">
        <v>0</v>
      </c>
      <c r="AH66" s="144" t="s">
        <v>414</v>
      </c>
      <c r="AI66" s="144" t="s">
        <v>415</v>
      </c>
      <c r="AJ66" s="144" t="s">
        <v>36</v>
      </c>
      <c r="AK66" s="144" t="s">
        <v>742</v>
      </c>
      <c r="AL66" s="144" t="s">
        <v>743</v>
      </c>
      <c r="AM66" s="144" t="s">
        <v>413</v>
      </c>
      <c r="AN66" s="144" t="s">
        <v>104</v>
      </c>
      <c r="AO66" s="144" t="s">
        <v>744</v>
      </c>
      <c r="AP66" s="144"/>
      <c r="AQ66" s="34"/>
      <c r="AR66" s="36">
        <f>VLOOKUP($C66,工资表明细!$C$2:$Q$190,14,0)</f>
        <v>19000</v>
      </c>
      <c r="AS66" s="36">
        <f>VLOOKUP($C66,工资表明细!$C$2:$Q$190,15,0)</f>
        <v>0</v>
      </c>
      <c r="AT66" s="36">
        <f>SUMIFS(其他补发!H:H,其他补发!B:B,C66)</f>
        <v>0</v>
      </c>
      <c r="AU66" s="36">
        <f>ROUND((AR66+AS66+AT66)/21.75*(H66+O66+P66*0.3+AA66),2)-VLOOKUP(C66,工资表明细!$C$2:$U$190,19,0)</f>
        <v>0</v>
      </c>
      <c r="AV66" s="36">
        <f>ROUND(AR66/21.75/8*2*(K66+L66*3/2),2)+SUMIFS(加班费!H:H,加班费!D:D,C66)-VLOOKUP(C66,工资表明细!$C$2:$W$190,21,0)</f>
        <v>0</v>
      </c>
      <c r="AW66" s="36">
        <f t="shared" si="0"/>
        <v>0</v>
      </c>
      <c r="AX66" s="58">
        <f t="shared" si="1"/>
        <v>0</v>
      </c>
      <c r="AY66" s="58">
        <f t="shared" si="2"/>
        <v>1</v>
      </c>
      <c r="AZ66" s="58">
        <f t="shared" si="3"/>
        <v>1</v>
      </c>
      <c r="BA66" s="34" t="str">
        <f>VLOOKUP(C66,工资表明细!$C$2:$P$223,13,0)</f>
        <v>6214830053359963</v>
      </c>
      <c r="BB66" s="34" t="b">
        <f t="shared" si="4"/>
        <v>1</v>
      </c>
      <c r="BC66" s="58">
        <f t="shared" si="5"/>
        <v>0</v>
      </c>
    </row>
    <row r="67" spans="1:55">
      <c r="A67" s="142"/>
      <c r="B67" s="143" t="s">
        <v>583</v>
      </c>
      <c r="C67" s="143" t="s">
        <v>416</v>
      </c>
      <c r="D67" s="143" t="s">
        <v>417</v>
      </c>
      <c r="E67" s="143" t="s">
        <v>101</v>
      </c>
      <c r="F67" s="143" t="s">
        <v>101</v>
      </c>
      <c r="G67" s="143" t="s">
        <v>63</v>
      </c>
      <c r="H67" s="143"/>
      <c r="I67" s="143"/>
      <c r="J67" s="143"/>
      <c r="K67" s="143">
        <v>0</v>
      </c>
      <c r="L67" s="143">
        <v>0</v>
      </c>
      <c r="M67" s="143"/>
      <c r="N67" s="143">
        <v>0</v>
      </c>
      <c r="O67" s="143">
        <v>0</v>
      </c>
      <c r="P67" s="143">
        <v>0</v>
      </c>
      <c r="Q67" s="143">
        <v>0</v>
      </c>
      <c r="R67" s="143">
        <v>0</v>
      </c>
      <c r="S67" s="143">
        <v>0</v>
      </c>
      <c r="T67" s="143">
        <v>0</v>
      </c>
      <c r="U67" s="143">
        <v>0</v>
      </c>
      <c r="V67" s="143">
        <v>0</v>
      </c>
      <c r="W67" s="143">
        <v>0</v>
      </c>
      <c r="X67" s="143">
        <v>0</v>
      </c>
      <c r="Y67" s="143">
        <v>0</v>
      </c>
      <c r="Z67" s="143"/>
      <c r="AA67" s="143">
        <v>0</v>
      </c>
      <c r="AB67" s="143">
        <v>0</v>
      </c>
      <c r="AC67" s="143">
        <v>0</v>
      </c>
      <c r="AD67" s="143">
        <v>0</v>
      </c>
      <c r="AE67" s="143">
        <v>0</v>
      </c>
      <c r="AF67" s="143">
        <v>0</v>
      </c>
      <c r="AG67" s="143">
        <v>0</v>
      </c>
      <c r="AH67" s="144" t="s">
        <v>418</v>
      </c>
      <c r="AI67" s="144" t="s">
        <v>419</v>
      </c>
      <c r="AJ67" s="144" t="s">
        <v>36</v>
      </c>
      <c r="AK67" s="144" t="s">
        <v>745</v>
      </c>
      <c r="AL67" s="144" t="s">
        <v>746</v>
      </c>
      <c r="AM67" s="144" t="s">
        <v>303</v>
      </c>
      <c r="AN67" s="144" t="s">
        <v>104</v>
      </c>
      <c r="AO67" s="144" t="s">
        <v>744</v>
      </c>
      <c r="AP67" s="144"/>
      <c r="AQ67" s="34"/>
      <c r="AR67" s="36">
        <f>VLOOKUP($C67,工资表明细!$C$2:$Q$190,14,0)</f>
        <v>20000</v>
      </c>
      <c r="AS67" s="36">
        <f>VLOOKUP($C67,工资表明细!$C$2:$Q$190,15,0)</f>
        <v>0</v>
      </c>
      <c r="AT67" s="36">
        <f>SUMIFS(其他补发!H:H,其他补发!B:B,C67)</f>
        <v>0</v>
      </c>
      <c r="AU67" s="36">
        <f>ROUND((AR67+AS67+AT67)/21.75*(H67+O67+P67*0.3+AA67),2)-VLOOKUP(C67,工资表明细!$C$2:$U$190,19,0)</f>
        <v>0</v>
      </c>
      <c r="AV67" s="36">
        <f>ROUND(AR67/21.75/8*2*(K67+L67*3/2),2)+SUMIFS(加班费!H:H,加班费!D:D,C67)-VLOOKUP(C67,工资表明细!$C$2:$W$190,21,0)</f>
        <v>0</v>
      </c>
      <c r="AW67" s="36">
        <f t="shared" ref="AW67:AW83" si="13">ROUND(AR67/21.75/8*2*(K67+L67*3/2),2)</f>
        <v>0</v>
      </c>
      <c r="AX67" s="58">
        <f t="shared" ref="AX67:AX83" si="14">ROUND(SUM(H67,O67,P67*0.3,AA67),2)</f>
        <v>0</v>
      </c>
      <c r="AY67" s="58">
        <f t="shared" ref="AY67:AY83" si="15">ROUND(1-AX67/21.75,2)</f>
        <v>1</v>
      </c>
      <c r="AZ67" s="58">
        <f t="shared" ref="AZ67:AZ83" si="16">COUNTIF(C:C,C67)</f>
        <v>1</v>
      </c>
      <c r="BA67" s="34" t="str">
        <f>VLOOKUP(C67,工资表明细!$C$2:$P$223,13,0)</f>
        <v>6214837853537516</v>
      </c>
      <c r="BB67" s="34" t="b">
        <f t="shared" ref="BB67:BB83" si="17">BA67=AI67</f>
        <v>1</v>
      </c>
      <c r="BC67" s="58">
        <f t="shared" ref="BC67:BC83" si="18">ROUND(AR67/21.75/8*3*L67,2)</f>
        <v>0</v>
      </c>
    </row>
    <row r="68" spans="1:55">
      <c r="A68" s="142"/>
      <c r="B68" s="143" t="s">
        <v>583</v>
      </c>
      <c r="C68" s="143" t="s">
        <v>420</v>
      </c>
      <c r="D68" s="143" t="s">
        <v>421</v>
      </c>
      <c r="E68" s="143" t="s">
        <v>101</v>
      </c>
      <c r="F68" s="143" t="s">
        <v>101</v>
      </c>
      <c r="G68" s="143" t="s">
        <v>65</v>
      </c>
      <c r="H68" s="143"/>
      <c r="I68" s="143"/>
      <c r="J68" s="143"/>
      <c r="K68" s="143">
        <v>0</v>
      </c>
      <c r="L68" s="143">
        <v>0</v>
      </c>
      <c r="M68" s="143"/>
      <c r="N68" s="143">
        <v>0</v>
      </c>
      <c r="O68" s="143">
        <v>0</v>
      </c>
      <c r="P68" s="143">
        <v>0</v>
      </c>
      <c r="Q68" s="143">
        <v>0</v>
      </c>
      <c r="R68" s="143">
        <v>0</v>
      </c>
      <c r="S68" s="143">
        <v>0</v>
      </c>
      <c r="T68" s="143">
        <v>0</v>
      </c>
      <c r="U68" s="143">
        <v>0</v>
      </c>
      <c r="V68" s="143">
        <v>0</v>
      </c>
      <c r="W68" s="143">
        <v>0</v>
      </c>
      <c r="X68" s="143">
        <v>0</v>
      </c>
      <c r="Y68" s="143">
        <v>0</v>
      </c>
      <c r="Z68" s="143"/>
      <c r="AA68" s="143">
        <v>0</v>
      </c>
      <c r="AB68" s="143">
        <v>0</v>
      </c>
      <c r="AC68" s="143">
        <v>0</v>
      </c>
      <c r="AD68" s="143">
        <v>0</v>
      </c>
      <c r="AE68" s="143">
        <v>0</v>
      </c>
      <c r="AF68" s="143">
        <v>0</v>
      </c>
      <c r="AG68" s="143">
        <v>0</v>
      </c>
      <c r="AH68" s="144" t="s">
        <v>423</v>
      </c>
      <c r="AI68" s="144" t="s">
        <v>424</v>
      </c>
      <c r="AJ68" s="144" t="s">
        <v>36</v>
      </c>
      <c r="AK68" s="144" t="s">
        <v>747</v>
      </c>
      <c r="AL68" s="144" t="s">
        <v>748</v>
      </c>
      <c r="AM68" s="144" t="s">
        <v>422</v>
      </c>
      <c r="AN68" s="144" t="s">
        <v>104</v>
      </c>
      <c r="AO68" s="144" t="s">
        <v>749</v>
      </c>
      <c r="AP68" s="144"/>
      <c r="AQ68" s="34"/>
      <c r="AR68" s="36">
        <f>VLOOKUP($C68,工资表明细!$C$2:$Q$190,14,0)</f>
        <v>40000</v>
      </c>
      <c r="AS68" s="36">
        <f>VLOOKUP($C68,工资表明细!$C$2:$Q$190,15,0)</f>
        <v>0</v>
      </c>
      <c r="AT68" s="36">
        <f>SUMIFS(其他补发!H:H,其他补发!B:B,C68)</f>
        <v>0</v>
      </c>
      <c r="AU68" s="36">
        <f>ROUND((AR68+AS68+AT68)/21.75*(H68+O68+P68*0.3+AA68),2)-VLOOKUP(C68,工资表明细!$C$2:$U$190,19,0)</f>
        <v>0</v>
      </c>
      <c r="AV68" s="36">
        <f>ROUND(AR68/21.75/8*2*(K68+L68*3/2),2)+SUMIFS(加班费!H:H,加班费!D:D,C68)-VLOOKUP(C68,工资表明细!$C$2:$W$190,21,0)</f>
        <v>0</v>
      </c>
      <c r="AW68" s="36">
        <f t="shared" si="13"/>
        <v>0</v>
      </c>
      <c r="AX68" s="58">
        <f t="shared" si="14"/>
        <v>0</v>
      </c>
      <c r="AY68" s="58">
        <f t="shared" si="15"/>
        <v>1</v>
      </c>
      <c r="AZ68" s="58">
        <f t="shared" si="16"/>
        <v>1</v>
      </c>
      <c r="BA68" s="34" t="str">
        <f>VLOOKUP(C68,工资表明细!$C$2:$P$223,13,0)</f>
        <v>6214866556479692</v>
      </c>
      <c r="BB68" s="34" t="b">
        <f t="shared" si="17"/>
        <v>1</v>
      </c>
      <c r="BC68" s="58">
        <f t="shared" si="18"/>
        <v>0</v>
      </c>
    </row>
    <row r="69" spans="1:55">
      <c r="A69" s="142"/>
      <c r="B69" s="143" t="s">
        <v>583</v>
      </c>
      <c r="C69" s="143" t="s">
        <v>425</v>
      </c>
      <c r="D69" s="143" t="s">
        <v>426</v>
      </c>
      <c r="E69" s="143" t="s">
        <v>101</v>
      </c>
      <c r="F69" s="143" t="s">
        <v>101</v>
      </c>
      <c r="G69" s="143" t="s">
        <v>63</v>
      </c>
      <c r="H69" s="143"/>
      <c r="I69" s="143"/>
      <c r="J69" s="143"/>
      <c r="K69" s="143">
        <v>0</v>
      </c>
      <c r="L69" s="143">
        <v>0</v>
      </c>
      <c r="M69" s="143"/>
      <c r="N69" s="143">
        <v>0</v>
      </c>
      <c r="O69" s="143">
        <v>0</v>
      </c>
      <c r="P69" s="143">
        <v>0</v>
      </c>
      <c r="Q69" s="143">
        <v>0</v>
      </c>
      <c r="R69" s="143">
        <v>0</v>
      </c>
      <c r="S69" s="143">
        <v>0</v>
      </c>
      <c r="T69" s="143">
        <v>0</v>
      </c>
      <c r="U69" s="143">
        <v>0</v>
      </c>
      <c r="V69" s="143">
        <v>0</v>
      </c>
      <c r="W69" s="143">
        <v>0</v>
      </c>
      <c r="X69" s="143">
        <v>0</v>
      </c>
      <c r="Y69" s="143">
        <v>0</v>
      </c>
      <c r="Z69" s="143"/>
      <c r="AA69" s="143">
        <v>0</v>
      </c>
      <c r="AB69" s="143">
        <v>0</v>
      </c>
      <c r="AC69" s="143">
        <v>0</v>
      </c>
      <c r="AD69" s="143">
        <v>0</v>
      </c>
      <c r="AE69" s="143">
        <v>0</v>
      </c>
      <c r="AF69" s="143">
        <v>0</v>
      </c>
      <c r="AG69" s="143">
        <v>0</v>
      </c>
      <c r="AH69" s="144" t="s">
        <v>428</v>
      </c>
      <c r="AI69" s="144" t="s">
        <v>429</v>
      </c>
      <c r="AJ69" s="144" t="s">
        <v>36</v>
      </c>
      <c r="AK69" s="144" t="s">
        <v>750</v>
      </c>
      <c r="AL69" s="144" t="s">
        <v>751</v>
      </c>
      <c r="AM69" s="144" t="s">
        <v>427</v>
      </c>
      <c r="AN69" s="144" t="s">
        <v>104</v>
      </c>
      <c r="AO69" s="144" t="s">
        <v>752</v>
      </c>
      <c r="AP69" s="144"/>
      <c r="AQ69" s="34"/>
      <c r="AR69" s="36">
        <f>VLOOKUP($C69,工资表明细!$C$2:$Q$190,14,0)</f>
        <v>19000</v>
      </c>
      <c r="AS69" s="36">
        <f>VLOOKUP($C69,工资表明细!$C$2:$Q$190,15,0)</f>
        <v>0</v>
      </c>
      <c r="AT69" s="36">
        <f>SUMIFS(其他补发!H:H,其他补发!B:B,C69)</f>
        <v>0</v>
      </c>
      <c r="AU69" s="36">
        <f>ROUND((AR69+AS69+AT69)/21.75*(H69+O69+P69*0.3+AA69),2)-VLOOKUP(C69,工资表明细!$C$2:$U$190,19,0)</f>
        <v>0</v>
      </c>
      <c r="AV69" s="36">
        <f>ROUND(AR69/21.75/8*2*(K69+L69*3/2),2)+SUMIFS(加班费!H:H,加班费!D:D,C69)-VLOOKUP(C69,工资表明细!$C$2:$W$190,21,0)</f>
        <v>0</v>
      </c>
      <c r="AW69" s="36">
        <f t="shared" si="13"/>
        <v>0</v>
      </c>
      <c r="AX69" s="58">
        <f t="shared" si="14"/>
        <v>0</v>
      </c>
      <c r="AY69" s="58">
        <f t="shared" si="15"/>
        <v>1</v>
      </c>
      <c r="AZ69" s="58">
        <f t="shared" si="16"/>
        <v>1</v>
      </c>
      <c r="BA69" s="34" t="str">
        <f>VLOOKUP(C69,工资表明细!$C$2:$P$223,13,0)</f>
        <v>6214832023608339</v>
      </c>
      <c r="BB69" s="34" t="b">
        <f t="shared" si="17"/>
        <v>1</v>
      </c>
      <c r="BC69" s="58">
        <f t="shared" si="18"/>
        <v>0</v>
      </c>
    </row>
    <row r="70" spans="1:55">
      <c r="A70" s="142"/>
      <c r="B70" s="143" t="s">
        <v>583</v>
      </c>
      <c r="C70" s="143" t="s">
        <v>435</v>
      </c>
      <c r="D70" s="143" t="s">
        <v>436</v>
      </c>
      <c r="E70" s="143" t="s">
        <v>101</v>
      </c>
      <c r="F70" s="143" t="s">
        <v>101</v>
      </c>
      <c r="G70" s="143" t="s">
        <v>532</v>
      </c>
      <c r="H70" s="143"/>
      <c r="I70" s="143"/>
      <c r="J70" s="143"/>
      <c r="K70" s="143">
        <v>0</v>
      </c>
      <c r="L70" s="143">
        <v>0</v>
      </c>
      <c r="M70" s="143"/>
      <c r="N70" s="143">
        <v>0</v>
      </c>
      <c r="O70" s="143">
        <v>1</v>
      </c>
      <c r="P70" s="143">
        <v>0</v>
      </c>
      <c r="Q70" s="143">
        <v>0</v>
      </c>
      <c r="R70" s="143">
        <v>0</v>
      </c>
      <c r="S70" s="143">
        <v>0</v>
      </c>
      <c r="T70" s="143">
        <v>0</v>
      </c>
      <c r="U70" s="143">
        <v>0</v>
      </c>
      <c r="V70" s="143">
        <v>0</v>
      </c>
      <c r="W70" s="143">
        <v>0</v>
      </c>
      <c r="X70" s="143">
        <v>0</v>
      </c>
      <c r="Y70" s="143">
        <v>0</v>
      </c>
      <c r="Z70" s="143"/>
      <c r="AA70" s="143">
        <v>0</v>
      </c>
      <c r="AB70" s="143">
        <v>0</v>
      </c>
      <c r="AC70" s="143">
        <v>0</v>
      </c>
      <c r="AD70" s="143">
        <v>0</v>
      </c>
      <c r="AE70" s="143">
        <v>0</v>
      </c>
      <c r="AF70" s="143">
        <v>0</v>
      </c>
      <c r="AG70" s="143">
        <v>0</v>
      </c>
      <c r="AH70" s="144" t="s">
        <v>438</v>
      </c>
      <c r="AI70" s="144" t="s">
        <v>439</v>
      </c>
      <c r="AJ70" s="144" t="s">
        <v>33</v>
      </c>
      <c r="AK70" s="144" t="s">
        <v>753</v>
      </c>
      <c r="AL70" s="144" t="s">
        <v>754</v>
      </c>
      <c r="AM70" s="144" t="s">
        <v>437</v>
      </c>
      <c r="AN70" s="144" t="s">
        <v>312</v>
      </c>
      <c r="AO70" s="144" t="s">
        <v>755</v>
      </c>
      <c r="AP70" s="144"/>
      <c r="AQ70" s="34"/>
      <c r="AR70" s="36">
        <f>VLOOKUP($C70,工资表明细!$C$2:$Q$190,14,0)</f>
        <v>4000</v>
      </c>
      <c r="AS70" s="36">
        <f>VLOOKUP($C70,工资表明细!$C$2:$Q$190,15,0)</f>
        <v>0</v>
      </c>
      <c r="AT70" s="36">
        <f>SUMIFS(其他补发!H:H,其他补发!B:B,C70)</f>
        <v>0</v>
      </c>
      <c r="AU70" s="36">
        <f>ROUND((AR70+AS70+AT70)/21.75*(H70+O70+P70*0.3+AA70),2)-VLOOKUP(C70,工资表明细!$C$2:$U$190,19,0)</f>
        <v>0</v>
      </c>
      <c r="AV70" s="36">
        <f>ROUND(AR70/21.75/8*2*(K70+L70*3/2),2)+SUMIFS(加班费!H:H,加班费!D:D,C70)-VLOOKUP(C70,工资表明细!$C$2:$W$190,21,0)</f>
        <v>0</v>
      </c>
      <c r="AW70" s="36">
        <f t="shared" si="13"/>
        <v>0</v>
      </c>
      <c r="AX70" s="58">
        <f t="shared" si="14"/>
        <v>1</v>
      </c>
      <c r="AY70" s="58">
        <f t="shared" si="15"/>
        <v>0.95</v>
      </c>
      <c r="AZ70" s="58">
        <f t="shared" si="16"/>
        <v>1</v>
      </c>
      <c r="BA70" s="34" t="str">
        <f>VLOOKUP(C70,工资表明细!$C$2:$P$223,13,0)</f>
        <v>6214831106316695</v>
      </c>
      <c r="BB70" s="34" t="b">
        <f t="shared" si="17"/>
        <v>1</v>
      </c>
      <c r="BC70" s="58">
        <f t="shared" si="18"/>
        <v>0</v>
      </c>
    </row>
    <row r="71" spans="1:55">
      <c r="A71" s="142"/>
      <c r="B71" s="143" t="s">
        <v>583</v>
      </c>
      <c r="C71" s="143" t="s">
        <v>445</v>
      </c>
      <c r="D71" s="143" t="s">
        <v>446</v>
      </c>
      <c r="E71" s="143" t="s">
        <v>101</v>
      </c>
      <c r="F71" s="143" t="s">
        <v>101</v>
      </c>
      <c r="G71" s="143" t="s">
        <v>65</v>
      </c>
      <c r="H71" s="143"/>
      <c r="I71" s="143"/>
      <c r="J71" s="143"/>
      <c r="K71" s="143">
        <v>0</v>
      </c>
      <c r="L71" s="143">
        <v>0</v>
      </c>
      <c r="M71" s="143"/>
      <c r="N71" s="143">
        <v>0</v>
      </c>
      <c r="O71" s="143">
        <v>0</v>
      </c>
      <c r="P71" s="143">
        <v>0</v>
      </c>
      <c r="Q71" s="143">
        <v>0</v>
      </c>
      <c r="R71" s="143">
        <v>0</v>
      </c>
      <c r="S71" s="143">
        <v>0</v>
      </c>
      <c r="T71" s="143">
        <v>0</v>
      </c>
      <c r="U71" s="143">
        <v>0</v>
      </c>
      <c r="V71" s="143">
        <v>0</v>
      </c>
      <c r="W71" s="143">
        <v>0</v>
      </c>
      <c r="X71" s="143">
        <v>0</v>
      </c>
      <c r="Y71" s="143">
        <v>0</v>
      </c>
      <c r="Z71" s="143"/>
      <c r="AA71" s="143">
        <v>0</v>
      </c>
      <c r="AB71" s="143">
        <v>0</v>
      </c>
      <c r="AC71" s="143">
        <v>0</v>
      </c>
      <c r="AD71" s="143">
        <v>0</v>
      </c>
      <c r="AE71" s="143">
        <v>0</v>
      </c>
      <c r="AF71" s="143">
        <v>0</v>
      </c>
      <c r="AG71" s="143">
        <v>0</v>
      </c>
      <c r="AH71" s="144" t="s">
        <v>448</v>
      </c>
      <c r="AI71" s="144" t="s">
        <v>449</v>
      </c>
      <c r="AJ71" s="144" t="s">
        <v>36</v>
      </c>
      <c r="AK71" s="144" t="s">
        <v>756</v>
      </c>
      <c r="AL71" s="144" t="s">
        <v>757</v>
      </c>
      <c r="AM71" s="144" t="s">
        <v>447</v>
      </c>
      <c r="AN71" s="144" t="s">
        <v>104</v>
      </c>
      <c r="AO71" s="144" t="s">
        <v>758</v>
      </c>
      <c r="AP71" s="144"/>
      <c r="AQ71" s="34"/>
      <c r="AR71" s="36">
        <f>VLOOKUP($C71,工资表明细!$C$2:$Q$190,14,0)</f>
        <v>25000</v>
      </c>
      <c r="AS71" s="36">
        <f>VLOOKUP($C71,工资表明细!$C$2:$Q$190,15,0)</f>
        <v>0</v>
      </c>
      <c r="AT71" s="36">
        <f>SUMIFS(其他补发!H:H,其他补发!B:B,C71)</f>
        <v>0</v>
      </c>
      <c r="AU71" s="36">
        <f>ROUND((AR71+AS71+AT71)/21.75*(H71+O71+P71*0.3+AA71),2)-VLOOKUP(C71,工资表明细!$C$2:$U$190,19,0)</f>
        <v>0</v>
      </c>
      <c r="AV71" s="36">
        <f>ROUND(AR71/21.75/8*2*(K71+L71*3/2),2)+SUMIFS(加班费!H:H,加班费!D:D,C71)-VLOOKUP(C71,工资表明细!$C$2:$W$190,21,0)</f>
        <v>0</v>
      </c>
      <c r="AW71" s="36">
        <f t="shared" si="13"/>
        <v>0</v>
      </c>
      <c r="AX71" s="58">
        <f t="shared" si="14"/>
        <v>0</v>
      </c>
      <c r="AY71" s="58">
        <f t="shared" si="15"/>
        <v>1</v>
      </c>
      <c r="AZ71" s="58">
        <f t="shared" si="16"/>
        <v>1</v>
      </c>
      <c r="BA71" s="34" t="str">
        <f>VLOOKUP(C71,工资表明细!$C$2:$P$223,13,0)</f>
        <v>6214837842008827</v>
      </c>
      <c r="BB71" s="34" t="b">
        <f t="shared" si="17"/>
        <v>1</v>
      </c>
      <c r="BC71" s="58">
        <f t="shared" si="18"/>
        <v>0</v>
      </c>
    </row>
    <row r="72" spans="1:55">
      <c r="A72" s="142"/>
      <c r="B72" s="143" t="s">
        <v>583</v>
      </c>
      <c r="C72" s="143" t="s">
        <v>440</v>
      </c>
      <c r="D72" s="143" t="s">
        <v>441</v>
      </c>
      <c r="E72" s="143" t="s">
        <v>101</v>
      </c>
      <c r="F72" s="143" t="s">
        <v>101</v>
      </c>
      <c r="G72" s="143" t="s">
        <v>532</v>
      </c>
      <c r="H72" s="143"/>
      <c r="I72" s="143"/>
      <c r="J72" s="143"/>
      <c r="K72" s="143">
        <v>0</v>
      </c>
      <c r="L72" s="143">
        <v>0</v>
      </c>
      <c r="M72" s="143"/>
      <c r="N72" s="143">
        <v>0</v>
      </c>
      <c r="O72" s="143">
        <v>0</v>
      </c>
      <c r="P72" s="143">
        <v>0</v>
      </c>
      <c r="Q72" s="143">
        <v>0</v>
      </c>
      <c r="R72" s="143">
        <v>0</v>
      </c>
      <c r="S72" s="143">
        <v>0</v>
      </c>
      <c r="T72" s="143">
        <v>0</v>
      </c>
      <c r="U72" s="143">
        <v>0</v>
      </c>
      <c r="V72" s="143">
        <v>0</v>
      </c>
      <c r="W72" s="143">
        <v>0</v>
      </c>
      <c r="X72" s="143">
        <v>0</v>
      </c>
      <c r="Y72" s="143">
        <v>0</v>
      </c>
      <c r="Z72" s="143"/>
      <c r="AA72" s="143">
        <v>0</v>
      </c>
      <c r="AB72" s="143">
        <v>0</v>
      </c>
      <c r="AC72" s="143">
        <v>0</v>
      </c>
      <c r="AD72" s="143">
        <v>0</v>
      </c>
      <c r="AE72" s="143">
        <v>0</v>
      </c>
      <c r="AF72" s="143">
        <v>0</v>
      </c>
      <c r="AG72" s="143">
        <v>0</v>
      </c>
      <c r="AH72" s="144" t="s">
        <v>443</v>
      </c>
      <c r="AI72" s="144" t="s">
        <v>444</v>
      </c>
      <c r="AJ72" s="144" t="s">
        <v>33</v>
      </c>
      <c r="AK72" s="144" t="s">
        <v>759</v>
      </c>
      <c r="AL72" s="144" t="s">
        <v>760</v>
      </c>
      <c r="AM72" s="144" t="s">
        <v>442</v>
      </c>
      <c r="AN72" s="144" t="s">
        <v>104</v>
      </c>
      <c r="AO72" s="144" t="s">
        <v>758</v>
      </c>
      <c r="AP72" s="144"/>
      <c r="AQ72" s="34"/>
      <c r="AR72" s="36">
        <f>VLOOKUP($C72,工资表明细!$C$2:$Q$190,14,0)</f>
        <v>28000</v>
      </c>
      <c r="AS72" s="36">
        <f>VLOOKUP($C72,工资表明细!$C$2:$Q$190,15,0)</f>
        <v>0</v>
      </c>
      <c r="AT72" s="36">
        <f>SUMIFS(其他补发!H:H,其他补发!B:B,C72)</f>
        <v>0</v>
      </c>
      <c r="AU72" s="36">
        <f>ROUND((AR72+AS72+AT72)/21.75*(H72+O72+P72*0.3+AA72),2)-VLOOKUP(C72,工资表明细!$C$2:$U$190,19,0)</f>
        <v>0</v>
      </c>
      <c r="AV72" s="36">
        <f>ROUND(AR72/21.75/8*2*(K72+L72*3/2),2)+SUMIFS(加班费!H:H,加班费!D:D,C72)-VLOOKUP(C72,工资表明细!$C$2:$W$190,21,0)</f>
        <v>0</v>
      </c>
      <c r="AW72" s="36">
        <f t="shared" si="13"/>
        <v>0</v>
      </c>
      <c r="AX72" s="58">
        <f t="shared" si="14"/>
        <v>0</v>
      </c>
      <c r="AY72" s="58">
        <f t="shared" si="15"/>
        <v>1</v>
      </c>
      <c r="AZ72" s="58">
        <f t="shared" si="16"/>
        <v>1</v>
      </c>
      <c r="BA72" s="34" t="str">
        <f>VLOOKUP(C72,工资表明细!$C$2:$P$223,13,0)</f>
        <v>6214831134217303</v>
      </c>
      <c r="BB72" s="34" t="b">
        <f t="shared" si="17"/>
        <v>1</v>
      </c>
      <c r="BC72" s="58">
        <f t="shared" si="18"/>
        <v>0</v>
      </c>
    </row>
    <row r="73" spans="1:55">
      <c r="A73" s="142"/>
      <c r="B73" s="143" t="s">
        <v>583</v>
      </c>
      <c r="C73" s="143" t="s">
        <v>430</v>
      </c>
      <c r="D73" s="143" t="s">
        <v>431</v>
      </c>
      <c r="E73" s="143" t="s">
        <v>101</v>
      </c>
      <c r="F73" s="143" t="s">
        <v>101</v>
      </c>
      <c r="G73" s="143" t="s">
        <v>67</v>
      </c>
      <c r="H73" s="143"/>
      <c r="I73" s="143"/>
      <c r="J73" s="143"/>
      <c r="K73" s="143">
        <v>0</v>
      </c>
      <c r="L73" s="143">
        <v>0</v>
      </c>
      <c r="M73" s="143"/>
      <c r="N73" s="143">
        <v>0</v>
      </c>
      <c r="O73" s="143">
        <v>0</v>
      </c>
      <c r="P73" s="143">
        <v>0</v>
      </c>
      <c r="Q73" s="143">
        <v>0</v>
      </c>
      <c r="R73" s="143">
        <v>0</v>
      </c>
      <c r="S73" s="143">
        <v>0</v>
      </c>
      <c r="T73" s="143">
        <v>0</v>
      </c>
      <c r="U73" s="143">
        <v>0</v>
      </c>
      <c r="V73" s="143">
        <v>0</v>
      </c>
      <c r="W73" s="143">
        <v>0</v>
      </c>
      <c r="X73" s="143">
        <v>0</v>
      </c>
      <c r="Y73" s="143">
        <v>0</v>
      </c>
      <c r="Z73" s="143"/>
      <c r="AA73" s="143">
        <v>0</v>
      </c>
      <c r="AB73" s="143">
        <v>0</v>
      </c>
      <c r="AC73" s="143">
        <v>0</v>
      </c>
      <c r="AD73" s="143">
        <v>0</v>
      </c>
      <c r="AE73" s="143">
        <v>0</v>
      </c>
      <c r="AF73" s="143">
        <v>0</v>
      </c>
      <c r="AG73" s="143">
        <v>0</v>
      </c>
      <c r="AH73" s="144" t="s">
        <v>433</v>
      </c>
      <c r="AI73" s="144" t="s">
        <v>434</v>
      </c>
      <c r="AJ73" s="144" t="s">
        <v>36</v>
      </c>
      <c r="AK73" s="144" t="s">
        <v>761</v>
      </c>
      <c r="AL73" s="144" t="s">
        <v>762</v>
      </c>
      <c r="AM73" s="144" t="s">
        <v>432</v>
      </c>
      <c r="AN73" s="144" t="s">
        <v>104</v>
      </c>
      <c r="AO73" s="144" t="s">
        <v>755</v>
      </c>
      <c r="AP73" s="144"/>
      <c r="AQ73" s="34"/>
      <c r="AR73" s="36">
        <f>VLOOKUP($C73,工资表明细!$C$2:$Q$190,14,0)</f>
        <v>24000</v>
      </c>
      <c r="AS73" s="36">
        <f>VLOOKUP($C73,工资表明细!$C$2:$Q$190,15,0)</f>
        <v>0</v>
      </c>
      <c r="AT73" s="36">
        <f>SUMIFS(其他补发!H:H,其他补发!B:B,C73)</f>
        <v>0</v>
      </c>
      <c r="AU73" s="36">
        <f>ROUND((AR73+AS73+AT73)/21.75*(H73+O73+P73*0.3+AA73),2)-VLOOKUP(C73,工资表明细!$C$2:$U$190,19,0)</f>
        <v>0</v>
      </c>
      <c r="AV73" s="36">
        <f>ROUND(AR73/21.75/8*2*(K73+L73*3/2),2)+SUMIFS(加班费!H:H,加班费!D:D,C73)-VLOOKUP(C73,工资表明细!$C$2:$W$190,21,0)</f>
        <v>0</v>
      </c>
      <c r="AW73" s="36">
        <f t="shared" si="13"/>
        <v>0</v>
      </c>
      <c r="AX73" s="58">
        <f t="shared" si="14"/>
        <v>0</v>
      </c>
      <c r="AY73" s="58">
        <f t="shared" si="15"/>
        <v>1</v>
      </c>
      <c r="AZ73" s="58">
        <f t="shared" si="16"/>
        <v>1</v>
      </c>
      <c r="BA73" s="34" t="str">
        <f>VLOOKUP(C73,工资表明细!$C$2:$P$223,13,0)</f>
        <v>6214856553012398</v>
      </c>
      <c r="BB73" s="34" t="b">
        <f t="shared" si="17"/>
        <v>1</v>
      </c>
      <c r="BC73" s="58">
        <f t="shared" si="18"/>
        <v>0</v>
      </c>
    </row>
    <row r="74" spans="1:55">
      <c r="A74" s="142"/>
      <c r="B74" s="143" t="s">
        <v>583</v>
      </c>
      <c r="C74" s="143" t="s">
        <v>455</v>
      </c>
      <c r="D74" s="143" t="s">
        <v>456</v>
      </c>
      <c r="E74" s="143" t="s">
        <v>101</v>
      </c>
      <c r="F74" s="143" t="s">
        <v>101</v>
      </c>
      <c r="G74" s="143" t="s">
        <v>64</v>
      </c>
      <c r="H74" s="143">
        <v>2</v>
      </c>
      <c r="I74" s="143"/>
      <c r="J74" s="143"/>
      <c r="K74" s="143">
        <v>0</v>
      </c>
      <c r="L74" s="143">
        <v>0</v>
      </c>
      <c r="M74" s="143"/>
      <c r="N74" s="143">
        <v>0</v>
      </c>
      <c r="O74" s="143">
        <v>0</v>
      </c>
      <c r="P74" s="143">
        <v>0</v>
      </c>
      <c r="Q74" s="143">
        <v>0</v>
      </c>
      <c r="R74" s="143">
        <v>0</v>
      </c>
      <c r="S74" s="143">
        <v>0</v>
      </c>
      <c r="T74" s="143">
        <v>0</v>
      </c>
      <c r="U74" s="143">
        <v>0</v>
      </c>
      <c r="V74" s="143">
        <v>0</v>
      </c>
      <c r="W74" s="143">
        <v>0</v>
      </c>
      <c r="X74" s="143">
        <v>0</v>
      </c>
      <c r="Y74" s="143">
        <v>0</v>
      </c>
      <c r="Z74" s="143"/>
      <c r="AA74" s="143">
        <v>0</v>
      </c>
      <c r="AB74" s="143">
        <v>0</v>
      </c>
      <c r="AC74" s="143">
        <v>0</v>
      </c>
      <c r="AD74" s="143">
        <v>0</v>
      </c>
      <c r="AE74" s="143">
        <v>0</v>
      </c>
      <c r="AF74" s="143">
        <v>0</v>
      </c>
      <c r="AG74" s="143">
        <v>0</v>
      </c>
      <c r="AH74" s="144" t="s">
        <v>457</v>
      </c>
      <c r="AI74" s="144" t="s">
        <v>458</v>
      </c>
      <c r="AJ74" s="144" t="s">
        <v>33</v>
      </c>
      <c r="AK74" s="144" t="s">
        <v>763</v>
      </c>
      <c r="AL74" s="144" t="s">
        <v>764</v>
      </c>
      <c r="AM74" s="144" t="s">
        <v>125</v>
      </c>
      <c r="AN74" s="144" t="s">
        <v>104</v>
      </c>
      <c r="AO74" s="144" t="s">
        <v>765</v>
      </c>
      <c r="AP74" s="144"/>
      <c r="AQ74" s="34"/>
      <c r="AR74" s="36">
        <f>VLOOKUP($C74,工资表明细!$C$2:$Q$190,14,0)</f>
        <v>24000</v>
      </c>
      <c r="AS74" s="36">
        <f>VLOOKUP($C74,工资表明细!$C$2:$Q$190,15,0)</f>
        <v>0</v>
      </c>
      <c r="AT74" s="36">
        <f>SUMIFS(其他补发!H:H,其他补发!B:B,C74)</f>
        <v>0</v>
      </c>
      <c r="AU74" s="36">
        <f>ROUND((AR74+AS74+AT74)/21.75*(H74+O74+P74*0.3+AA74),2)-VLOOKUP(C74,工资表明细!$C$2:$U$190,19,0)</f>
        <v>0</v>
      </c>
      <c r="AV74" s="36">
        <f>ROUND(AR74/21.75/8*2*(K74+L74*3/2),2)+SUMIFS(加班费!H:H,加班费!D:D,C74)-VLOOKUP(C74,工资表明细!$C$2:$W$190,21,0)</f>
        <v>0</v>
      </c>
      <c r="AW74" s="36">
        <f t="shared" si="13"/>
        <v>0</v>
      </c>
      <c r="AX74" s="58">
        <f t="shared" si="14"/>
        <v>2</v>
      </c>
      <c r="AY74" s="58">
        <f t="shared" si="15"/>
        <v>0.91</v>
      </c>
      <c r="AZ74" s="58">
        <f t="shared" si="16"/>
        <v>1</v>
      </c>
      <c r="BA74" s="34" t="str">
        <f>VLOOKUP(C74,工资表明细!$C$2:$P$223,13,0)</f>
        <v>6214850206505908</v>
      </c>
      <c r="BB74" s="34" t="b">
        <f t="shared" si="17"/>
        <v>1</v>
      </c>
      <c r="BC74" s="58">
        <f t="shared" si="18"/>
        <v>0</v>
      </c>
    </row>
    <row r="75" spans="1:55">
      <c r="A75" s="142"/>
      <c r="B75" s="143" t="s">
        <v>583</v>
      </c>
      <c r="C75" s="143" t="s">
        <v>450</v>
      </c>
      <c r="D75" s="143" t="s">
        <v>451</v>
      </c>
      <c r="E75" s="143" t="s">
        <v>101</v>
      </c>
      <c r="F75" s="143" t="s">
        <v>101</v>
      </c>
      <c r="G75" s="143" t="s">
        <v>532</v>
      </c>
      <c r="H75" s="143">
        <v>0</v>
      </c>
      <c r="I75" s="143"/>
      <c r="J75" s="143"/>
      <c r="K75" s="143">
        <v>0</v>
      </c>
      <c r="L75" s="143">
        <v>0</v>
      </c>
      <c r="M75" s="143"/>
      <c r="N75" s="143">
        <v>0</v>
      </c>
      <c r="O75" s="143">
        <v>0</v>
      </c>
      <c r="P75" s="143">
        <v>0</v>
      </c>
      <c r="Q75" s="143">
        <v>0</v>
      </c>
      <c r="R75" s="143">
        <v>0</v>
      </c>
      <c r="S75" s="143">
        <v>0</v>
      </c>
      <c r="T75" s="143">
        <v>0</v>
      </c>
      <c r="U75" s="143">
        <v>0</v>
      </c>
      <c r="V75" s="143">
        <v>0</v>
      </c>
      <c r="W75" s="143">
        <v>0</v>
      </c>
      <c r="X75" s="143">
        <v>0</v>
      </c>
      <c r="Y75" s="143">
        <v>0</v>
      </c>
      <c r="Z75" s="143"/>
      <c r="AA75" s="143">
        <v>0</v>
      </c>
      <c r="AB75" s="143">
        <v>0</v>
      </c>
      <c r="AC75" s="143">
        <v>0</v>
      </c>
      <c r="AD75" s="143">
        <v>0</v>
      </c>
      <c r="AE75" s="143">
        <v>0</v>
      </c>
      <c r="AF75" s="143">
        <v>0</v>
      </c>
      <c r="AG75" s="143">
        <v>0</v>
      </c>
      <c r="AH75" s="144" t="s">
        <v>453</v>
      </c>
      <c r="AI75" s="144" t="s">
        <v>454</v>
      </c>
      <c r="AJ75" s="144" t="s">
        <v>33</v>
      </c>
      <c r="AK75" s="144" t="s">
        <v>766</v>
      </c>
      <c r="AL75" s="144" t="s">
        <v>767</v>
      </c>
      <c r="AM75" s="144" t="s">
        <v>452</v>
      </c>
      <c r="AN75" s="144" t="s">
        <v>104</v>
      </c>
      <c r="AO75" s="144" t="s">
        <v>768</v>
      </c>
      <c r="AP75" s="144"/>
      <c r="AQ75" s="34"/>
      <c r="AR75" s="36">
        <f>VLOOKUP($C75,工资表明细!$C$2:$Q$190,14,0)</f>
        <v>8000</v>
      </c>
      <c r="AS75" s="36">
        <f>VLOOKUP($C75,工资表明细!$C$2:$Q$190,15,0)</f>
        <v>0</v>
      </c>
      <c r="AT75" s="36">
        <f>SUMIFS(其他补发!H:H,其他补发!B:B,C75)</f>
        <v>0</v>
      </c>
      <c r="AU75" s="36">
        <f>ROUND((AR75+AS75+AT75)/21.75*(H75+O75+P75*0.3+AA75),2)-VLOOKUP(C75,工资表明细!$C$2:$U$190,19,0)</f>
        <v>0</v>
      </c>
      <c r="AV75" s="36">
        <f>ROUND(AR75/21.75/8*2*(K75+L75*3/2),2)+SUMIFS(加班费!H:H,加班费!D:D,C75)-VLOOKUP(C75,工资表明细!$C$2:$W$190,21,0)</f>
        <v>0</v>
      </c>
      <c r="AW75" s="36">
        <f t="shared" si="13"/>
        <v>0</v>
      </c>
      <c r="AX75" s="58">
        <f t="shared" si="14"/>
        <v>0</v>
      </c>
      <c r="AY75" s="58">
        <f t="shared" si="15"/>
        <v>1</v>
      </c>
      <c r="AZ75" s="58">
        <f t="shared" si="16"/>
        <v>1</v>
      </c>
      <c r="BA75" s="34" t="str">
        <f>VLOOKUP(C75,工资表明细!$C$2:$P$223,13,0)</f>
        <v>6214837889289025</v>
      </c>
      <c r="BB75" s="34" t="b">
        <f t="shared" si="17"/>
        <v>1</v>
      </c>
      <c r="BC75" s="58">
        <f t="shared" si="18"/>
        <v>0</v>
      </c>
    </row>
    <row r="76" spans="1:55">
      <c r="A76" s="142"/>
      <c r="B76" s="143" t="s">
        <v>583</v>
      </c>
      <c r="C76" s="143" t="s">
        <v>459</v>
      </c>
      <c r="D76" s="143" t="s">
        <v>460</v>
      </c>
      <c r="E76" s="143" t="s">
        <v>101</v>
      </c>
      <c r="F76" s="143" t="s">
        <v>101</v>
      </c>
      <c r="G76" s="143" t="s">
        <v>65</v>
      </c>
      <c r="H76" s="143">
        <v>10</v>
      </c>
      <c r="I76" s="143"/>
      <c r="J76" s="143"/>
      <c r="K76" s="143">
        <v>0</v>
      </c>
      <c r="L76" s="143">
        <v>0</v>
      </c>
      <c r="M76" s="143"/>
      <c r="N76" s="143">
        <v>0</v>
      </c>
      <c r="O76" s="143">
        <v>0</v>
      </c>
      <c r="P76" s="143">
        <v>0</v>
      </c>
      <c r="Q76" s="143">
        <v>0</v>
      </c>
      <c r="R76" s="143">
        <v>0</v>
      </c>
      <c r="S76" s="143">
        <v>0</v>
      </c>
      <c r="T76" s="143">
        <v>0</v>
      </c>
      <c r="U76" s="143">
        <v>0</v>
      </c>
      <c r="V76" s="143">
        <v>0</v>
      </c>
      <c r="W76" s="143">
        <v>0</v>
      </c>
      <c r="X76" s="143">
        <v>0</v>
      </c>
      <c r="Y76" s="143">
        <v>0</v>
      </c>
      <c r="Z76" s="143"/>
      <c r="AA76" s="143">
        <v>0</v>
      </c>
      <c r="AB76" s="143">
        <v>0</v>
      </c>
      <c r="AC76" s="143">
        <v>0</v>
      </c>
      <c r="AD76" s="143">
        <v>0</v>
      </c>
      <c r="AE76" s="143">
        <v>0</v>
      </c>
      <c r="AF76" s="143">
        <v>0</v>
      </c>
      <c r="AG76" s="143">
        <v>0</v>
      </c>
      <c r="AH76" s="144" t="s">
        <v>462</v>
      </c>
      <c r="AI76" s="144" t="s">
        <v>463</v>
      </c>
      <c r="AJ76" s="144" t="s">
        <v>36</v>
      </c>
      <c r="AK76" s="144" t="s">
        <v>769</v>
      </c>
      <c r="AL76" s="144" t="s">
        <v>770</v>
      </c>
      <c r="AM76" s="144" t="s">
        <v>461</v>
      </c>
      <c r="AN76" s="144" t="s">
        <v>104</v>
      </c>
      <c r="AO76" s="144" t="s">
        <v>771</v>
      </c>
      <c r="AP76" s="144"/>
      <c r="AQ76" s="34"/>
      <c r="AR76" s="36">
        <f>VLOOKUP($C76,工资表明细!$C$2:$Q$190,14,0)</f>
        <v>22000</v>
      </c>
      <c r="AS76" s="36">
        <f>VLOOKUP($C76,工资表明细!$C$2:$Q$190,15,0)</f>
        <v>0</v>
      </c>
      <c r="AT76" s="36">
        <f>SUMIFS(其他补发!H:H,其他补发!B:B,C76)</f>
        <v>0</v>
      </c>
      <c r="AU76" s="36">
        <f>ROUND((AR76+AS76+AT76)/21.75*(H76+O76+P76*0.3+AA76),2)-VLOOKUP(C76,工资表明细!$C$2:$U$190,19,0)</f>
        <v>0</v>
      </c>
      <c r="AV76" s="36">
        <f>ROUND(AR76/21.75/8*2*(K76+L76*3/2),2)+SUMIFS(加班费!H:H,加班费!D:D,C76)-VLOOKUP(C76,工资表明细!$C$2:$W$190,21,0)</f>
        <v>0</v>
      </c>
      <c r="AW76" s="36">
        <f t="shared" si="13"/>
        <v>0</v>
      </c>
      <c r="AX76" s="58">
        <f t="shared" si="14"/>
        <v>10</v>
      </c>
      <c r="AY76" s="58">
        <f t="shared" si="15"/>
        <v>0.54</v>
      </c>
      <c r="AZ76" s="58">
        <f t="shared" si="16"/>
        <v>1</v>
      </c>
      <c r="BA76" s="34" t="str">
        <f>VLOOKUP(C76,工资表明细!$C$2:$P$223,13,0)</f>
        <v>6214856552716569</v>
      </c>
      <c r="BB76" s="34" t="b">
        <f t="shared" si="17"/>
        <v>1</v>
      </c>
      <c r="BC76" s="58">
        <f t="shared" si="18"/>
        <v>0</v>
      </c>
    </row>
    <row r="77" spans="1:55">
      <c r="A77" s="142"/>
      <c r="B77" s="143" t="s">
        <v>583</v>
      </c>
      <c r="C77" s="143" t="s">
        <v>464</v>
      </c>
      <c r="D77" s="143" t="s">
        <v>465</v>
      </c>
      <c r="E77" s="143" t="s">
        <v>101</v>
      </c>
      <c r="F77" s="143" t="s">
        <v>101</v>
      </c>
      <c r="G77" s="143" t="s">
        <v>67</v>
      </c>
      <c r="H77" s="143">
        <v>9.75</v>
      </c>
      <c r="I77" s="143"/>
      <c r="J77" s="143"/>
      <c r="K77" s="143">
        <v>0</v>
      </c>
      <c r="L77" s="143">
        <v>0</v>
      </c>
      <c r="M77" s="143"/>
      <c r="N77" s="143">
        <v>0</v>
      </c>
      <c r="O77" s="143">
        <v>0</v>
      </c>
      <c r="P77" s="143">
        <v>0</v>
      </c>
      <c r="Q77" s="143">
        <v>0</v>
      </c>
      <c r="R77" s="143">
        <v>0</v>
      </c>
      <c r="S77" s="143">
        <v>0</v>
      </c>
      <c r="T77" s="143">
        <v>0</v>
      </c>
      <c r="U77" s="143">
        <v>0</v>
      </c>
      <c r="V77" s="143">
        <v>0</v>
      </c>
      <c r="W77" s="143">
        <v>0</v>
      </c>
      <c r="X77" s="143">
        <v>0</v>
      </c>
      <c r="Y77" s="143">
        <v>0</v>
      </c>
      <c r="Z77" s="143"/>
      <c r="AA77" s="143">
        <v>0</v>
      </c>
      <c r="AB77" s="143">
        <v>0</v>
      </c>
      <c r="AC77" s="143">
        <v>0</v>
      </c>
      <c r="AD77" s="143">
        <v>0</v>
      </c>
      <c r="AE77" s="143">
        <v>0</v>
      </c>
      <c r="AF77" s="143">
        <v>0</v>
      </c>
      <c r="AG77" s="143">
        <v>0</v>
      </c>
      <c r="AH77" s="144" t="s">
        <v>467</v>
      </c>
      <c r="AI77" s="144" t="s">
        <v>468</v>
      </c>
      <c r="AJ77" s="144" t="s">
        <v>36</v>
      </c>
      <c r="AK77" s="144" t="s">
        <v>772</v>
      </c>
      <c r="AL77" s="144" t="s">
        <v>773</v>
      </c>
      <c r="AM77" s="144" t="s">
        <v>466</v>
      </c>
      <c r="AN77" s="144" t="s">
        <v>104</v>
      </c>
      <c r="AO77" s="144" t="s">
        <v>774</v>
      </c>
      <c r="AP77" s="144"/>
      <c r="AQ77" s="34"/>
      <c r="AR77" s="36">
        <f>VLOOKUP($C77,工资表明细!$C$2:$Q$190,14,0)</f>
        <v>20000</v>
      </c>
      <c r="AS77" s="36">
        <f>VLOOKUP($C77,工资表明细!$C$2:$Q$190,15,0)</f>
        <v>0</v>
      </c>
      <c r="AT77" s="36">
        <f>SUMIFS(其他补发!H:H,其他补发!B:B,C77)</f>
        <v>0</v>
      </c>
      <c r="AU77" s="36">
        <f>ROUND((AR77+AS77+AT77)/21.75*(H77+O77+P77*0.3+AA77),2)-VLOOKUP(C77,工资表明细!$C$2:$U$190,19,0)</f>
        <v>0</v>
      </c>
      <c r="AV77" s="36">
        <f>ROUND(AR77/21.75/8*2*(K77+L77*3/2),2)+SUMIFS(加班费!H:H,加班费!D:D,C77)-VLOOKUP(C77,工资表明细!$C$2:$W$190,21,0)</f>
        <v>0</v>
      </c>
      <c r="AW77" s="36">
        <f>ROUND(AR77/21.75/8*2*(K77+L77*3/2),2)</f>
        <v>0</v>
      </c>
      <c r="AX77" s="58">
        <f>ROUND(SUM(H77,O77,P77*0.3,AA77),2)</f>
        <v>9.75</v>
      </c>
      <c r="AY77" s="58">
        <f>ROUND(1-AX77/21.75,2)</f>
        <v>0.55</v>
      </c>
      <c r="AZ77" s="58">
        <f>COUNTIF(C:C,C77)</f>
        <v>1</v>
      </c>
      <c r="BA77" s="34" t="str">
        <f>VLOOKUP(C77,工资表明细!$C$2:$P$223,13,0)</f>
        <v>6214851805509192</v>
      </c>
      <c r="BB77" s="34" t="b">
        <f>BA77=AI77</f>
        <v>1</v>
      </c>
      <c r="BC77" s="58">
        <f>ROUND(AR77/21.75/8*3*L77,2)</f>
        <v>0</v>
      </c>
    </row>
    <row r="78" spans="1:55">
      <c r="A78" s="142"/>
      <c r="B78" s="143" t="s">
        <v>583</v>
      </c>
      <c r="C78" s="143" t="s">
        <v>469</v>
      </c>
      <c r="D78" s="143" t="s">
        <v>470</v>
      </c>
      <c r="E78" s="143" t="s">
        <v>101</v>
      </c>
      <c r="F78" s="143" t="s">
        <v>101</v>
      </c>
      <c r="G78" s="143" t="s">
        <v>67</v>
      </c>
      <c r="H78" s="143">
        <v>16.75</v>
      </c>
      <c r="I78" s="143"/>
      <c r="J78" s="143"/>
      <c r="K78" s="143">
        <v>0</v>
      </c>
      <c r="L78" s="143">
        <v>0</v>
      </c>
      <c r="M78" s="143"/>
      <c r="N78" s="143">
        <v>0</v>
      </c>
      <c r="O78" s="143">
        <v>0</v>
      </c>
      <c r="P78" s="143">
        <v>0</v>
      </c>
      <c r="Q78" s="143">
        <v>0</v>
      </c>
      <c r="R78" s="143">
        <v>0</v>
      </c>
      <c r="S78" s="143">
        <v>0</v>
      </c>
      <c r="T78" s="143">
        <v>0</v>
      </c>
      <c r="U78" s="143">
        <v>0</v>
      </c>
      <c r="V78" s="143">
        <v>0</v>
      </c>
      <c r="W78" s="143">
        <v>0</v>
      </c>
      <c r="X78" s="143">
        <v>0</v>
      </c>
      <c r="Y78" s="143">
        <v>0</v>
      </c>
      <c r="Z78" s="143"/>
      <c r="AA78" s="143">
        <v>0</v>
      </c>
      <c r="AB78" s="143">
        <v>0</v>
      </c>
      <c r="AC78" s="143">
        <v>0</v>
      </c>
      <c r="AD78" s="143">
        <v>0</v>
      </c>
      <c r="AE78" s="143">
        <v>0</v>
      </c>
      <c r="AF78" s="143">
        <v>0</v>
      </c>
      <c r="AG78" s="143">
        <v>0</v>
      </c>
      <c r="AH78" s="144" t="s">
        <v>472</v>
      </c>
      <c r="AI78" s="144" t="s">
        <v>473</v>
      </c>
      <c r="AJ78" s="144" t="s">
        <v>36</v>
      </c>
      <c r="AK78" s="144" t="s">
        <v>775</v>
      </c>
      <c r="AL78" s="144" t="s">
        <v>776</v>
      </c>
      <c r="AM78" s="144" t="s">
        <v>471</v>
      </c>
      <c r="AN78" s="144" t="s">
        <v>104</v>
      </c>
      <c r="AO78" s="144" t="s">
        <v>777</v>
      </c>
      <c r="AP78" s="144"/>
      <c r="AQ78" s="34"/>
      <c r="AR78" s="36">
        <f>VLOOKUP($C78,工资表明细!$C$2:$Q$190,14,0)</f>
        <v>26000</v>
      </c>
      <c r="AS78" s="36">
        <f>VLOOKUP($C78,工资表明细!$C$2:$Q$190,15,0)</f>
        <v>0</v>
      </c>
      <c r="AT78" s="36">
        <f>SUMIFS(其他补发!H:H,其他补发!B:B,C78)</f>
        <v>0</v>
      </c>
      <c r="AU78" s="36">
        <f>ROUND((AR78+AS78+AT78)/21.75*(H78+O78+P78*0.3+AA78),2)-VLOOKUP(C78,工资表明细!$C$2:$U$190,19,0)</f>
        <v>0</v>
      </c>
      <c r="AV78" s="36">
        <f>ROUND(AR78/21.75/8*2*(K78+L78*3/2),2)+SUMIFS(加班费!H:H,加班费!D:D,C78)-VLOOKUP(C78,工资表明细!$C$2:$W$190,21,0)</f>
        <v>0</v>
      </c>
      <c r="AW78" s="36">
        <f>ROUND(AR78/21.75/8*2*(K78+L78*3/2),2)</f>
        <v>0</v>
      </c>
      <c r="AX78" s="58">
        <f>ROUND(SUM(H78,O78,P78*0.3,AA78),2)</f>
        <v>16.75</v>
      </c>
      <c r="AY78" s="58">
        <f>ROUND(1-AX78/21.75,2)</f>
        <v>0.23</v>
      </c>
      <c r="AZ78" s="58">
        <f>COUNTIF(C:C,C78)</f>
        <v>1</v>
      </c>
      <c r="BA78" s="34" t="str">
        <f>VLOOKUP(C78,工资表明细!$C$2:$P$223,13,0)</f>
        <v>6214830700285595</v>
      </c>
      <c r="BB78" s="34" t="b">
        <f>BA78=AI78</f>
        <v>1</v>
      </c>
      <c r="BC78" s="58">
        <f>ROUND(AR78/21.75/8*3*L78,2)</f>
        <v>0</v>
      </c>
    </row>
    <row r="79" spans="1:55">
      <c r="A79" s="142"/>
      <c r="B79" s="143" t="s">
        <v>583</v>
      </c>
      <c r="C79" s="143" t="s">
        <v>398</v>
      </c>
      <c r="D79" s="143" t="s">
        <v>399</v>
      </c>
      <c r="E79" s="143" t="s">
        <v>101</v>
      </c>
      <c r="F79" s="143" t="s">
        <v>101</v>
      </c>
      <c r="G79" s="143" t="s">
        <v>65</v>
      </c>
      <c r="H79" s="143"/>
      <c r="I79" s="143"/>
      <c r="J79" s="143"/>
      <c r="K79" s="143">
        <v>0</v>
      </c>
      <c r="L79" s="143">
        <v>0</v>
      </c>
      <c r="M79" s="143"/>
      <c r="N79" s="143">
        <v>0</v>
      </c>
      <c r="O79" s="143">
        <v>0</v>
      </c>
      <c r="P79" s="143">
        <v>0</v>
      </c>
      <c r="Q79" s="143">
        <v>0</v>
      </c>
      <c r="R79" s="143">
        <v>0</v>
      </c>
      <c r="S79" s="143">
        <v>0</v>
      </c>
      <c r="T79" s="143">
        <v>0</v>
      </c>
      <c r="U79" s="143">
        <v>0</v>
      </c>
      <c r="V79" s="143">
        <v>0</v>
      </c>
      <c r="W79" s="143">
        <v>0</v>
      </c>
      <c r="X79" s="143">
        <v>0</v>
      </c>
      <c r="Y79" s="143">
        <v>0</v>
      </c>
      <c r="Z79" s="143"/>
      <c r="AA79" s="143">
        <v>0</v>
      </c>
      <c r="AB79" s="143">
        <v>0</v>
      </c>
      <c r="AC79" s="143">
        <v>0</v>
      </c>
      <c r="AD79" s="143">
        <v>0</v>
      </c>
      <c r="AE79" s="143">
        <v>0</v>
      </c>
      <c r="AF79" s="143">
        <v>0</v>
      </c>
      <c r="AG79" s="143">
        <v>0</v>
      </c>
      <c r="AH79" s="144" t="s">
        <v>400</v>
      </c>
      <c r="AI79" s="144" t="s">
        <v>401</v>
      </c>
      <c r="AJ79" s="144" t="s">
        <v>36</v>
      </c>
      <c r="AK79" s="144" t="s">
        <v>778</v>
      </c>
      <c r="AL79" s="144" t="s">
        <v>779</v>
      </c>
      <c r="AM79" s="144" t="s">
        <v>220</v>
      </c>
      <c r="AN79" s="144" t="s">
        <v>104</v>
      </c>
      <c r="AO79" s="144" t="s">
        <v>733</v>
      </c>
      <c r="AP79" s="144"/>
      <c r="AQ79" s="34"/>
      <c r="AR79" s="36">
        <f>VLOOKUP($C79,工资表明细!$C$2:$Q$190,14,0)</f>
        <v>28000</v>
      </c>
      <c r="AS79" s="36">
        <f>VLOOKUP($C79,工资表明细!$C$2:$Q$190,15,0)</f>
        <v>0</v>
      </c>
      <c r="AT79" s="36">
        <f>SUMIFS(其他补发!H:H,其他补发!B:B,C79)</f>
        <v>0</v>
      </c>
      <c r="AU79" s="36">
        <f>ROUND((AR79+AS79+AT79)/21.75*(H79+O79+P79*0.3+AA79),2)-VLOOKUP(C79,工资表明细!$C$2:$U$190,19,0)</f>
        <v>0</v>
      </c>
      <c r="AV79" s="36">
        <f>ROUND(AR79/21.75/8*2*(K79+L79*3/2),2)+SUMIFS(加班费!H:H,加班费!D:D,C79)-VLOOKUP(C79,工资表明细!$C$2:$W$190,21,0)</f>
        <v>0</v>
      </c>
      <c r="AW79" s="36">
        <f>ROUND(AR79/21.75/8*2*(K79+L79*3/2),2)</f>
        <v>0</v>
      </c>
      <c r="AX79" s="58">
        <f>ROUND(SUM(H79,O79,P79*0.3,AA79),2)</f>
        <v>0</v>
      </c>
      <c r="AY79" s="58">
        <f>ROUND(1-AX79/21.75,2)</f>
        <v>1</v>
      </c>
      <c r="AZ79" s="58">
        <f>COUNTIF(C:C,C79)</f>
        <v>1</v>
      </c>
      <c r="BA79" s="34" t="str">
        <f>VLOOKUP(C79,工资表明细!$C$2:$P$223,13,0)</f>
        <v>6225887832374785</v>
      </c>
      <c r="BB79" s="34" t="b">
        <f>BA79=AI79</f>
        <v>1</v>
      </c>
      <c r="BC79" s="58">
        <f>ROUND(AR79/21.75/8*3*L79,2)</f>
        <v>0</v>
      </c>
    </row>
    <row r="80" spans="1:55">
      <c r="A80" s="142"/>
      <c r="B80" s="143" t="s">
        <v>583</v>
      </c>
      <c r="C80" s="143" t="s">
        <v>474</v>
      </c>
      <c r="D80" s="143" t="s">
        <v>475</v>
      </c>
      <c r="E80" s="143" t="s">
        <v>101</v>
      </c>
      <c r="F80" s="143" t="s">
        <v>101</v>
      </c>
      <c r="G80" s="143" t="s">
        <v>69</v>
      </c>
      <c r="H80" s="143">
        <v>20.75</v>
      </c>
      <c r="I80" s="143"/>
      <c r="J80" s="143"/>
      <c r="K80" s="143">
        <v>0</v>
      </c>
      <c r="L80" s="143">
        <v>0</v>
      </c>
      <c r="M80" s="143"/>
      <c r="N80" s="143">
        <v>0</v>
      </c>
      <c r="O80" s="143">
        <v>0</v>
      </c>
      <c r="P80" s="143">
        <v>0</v>
      </c>
      <c r="Q80" s="143">
        <v>0</v>
      </c>
      <c r="R80" s="143">
        <v>0</v>
      </c>
      <c r="S80" s="143">
        <v>0</v>
      </c>
      <c r="T80" s="143">
        <v>0</v>
      </c>
      <c r="U80" s="143">
        <v>0</v>
      </c>
      <c r="V80" s="143">
        <v>0</v>
      </c>
      <c r="W80" s="143">
        <v>0</v>
      </c>
      <c r="X80" s="143">
        <v>0</v>
      </c>
      <c r="Y80" s="143">
        <v>0</v>
      </c>
      <c r="Z80" s="143"/>
      <c r="AA80" s="143">
        <v>0</v>
      </c>
      <c r="AB80" s="143">
        <v>0</v>
      </c>
      <c r="AC80" s="143">
        <v>0</v>
      </c>
      <c r="AD80" s="143">
        <v>0</v>
      </c>
      <c r="AE80" s="143">
        <v>0</v>
      </c>
      <c r="AF80" s="143">
        <v>0</v>
      </c>
      <c r="AG80" s="143">
        <v>0</v>
      </c>
      <c r="AH80" s="349" t="s">
        <v>477</v>
      </c>
      <c r="AI80" s="349" t="s">
        <v>478</v>
      </c>
      <c r="AJ80" s="144" t="s">
        <v>33</v>
      </c>
      <c r="AK80" s="144">
        <v>13028890431</v>
      </c>
      <c r="AL80" s="144" t="s">
        <v>780</v>
      </c>
      <c r="AM80" s="144" t="s">
        <v>476</v>
      </c>
      <c r="AN80" s="144" t="s">
        <v>312</v>
      </c>
      <c r="AO80" s="145">
        <v>46234</v>
      </c>
      <c r="AP80" s="144"/>
      <c r="AQ80" s="34"/>
      <c r="AR80" s="36">
        <f>VLOOKUP($C80,工资表明细!$C$2:$Q$190,14,0)</f>
        <v>4000</v>
      </c>
      <c r="AS80" s="36">
        <f>VLOOKUP($C80,工资表明细!$C$2:$Q$190,15,0)</f>
        <v>0</v>
      </c>
      <c r="AT80" s="36">
        <f>SUMIFS(其他补发!H:H,其他补发!B:B,C80)</f>
        <v>0</v>
      </c>
      <c r="AU80" s="36">
        <f>ROUND((AR80+AS80+AT80)/21.75*(H80+O80+P80*0.3+AA80),2)-VLOOKUP(C80,工资表明细!$C$2:$U$190,19,0)</f>
        <v>0</v>
      </c>
      <c r="AV80" s="36">
        <f>ROUND(AR80/21.75/8*2*(K80+L80*3/2),2)+SUMIFS(加班费!H:H,加班费!D:D,C80)-VLOOKUP(C80,工资表明细!$C$2:$W$190,21,0)</f>
        <v>0</v>
      </c>
      <c r="AW80" s="36">
        <f>ROUND(AR80/21.75/8*2*(K80+L80*3/2),2)</f>
        <v>0</v>
      </c>
      <c r="AX80" s="58">
        <f>ROUND(SUM(H80,O80,P80*0.3,AA80),2)</f>
        <v>20.75</v>
      </c>
      <c r="AY80" s="58">
        <f>ROUND(1-AX80/21.75,2)</f>
        <v>0.05</v>
      </c>
      <c r="AZ80" s="58">
        <f>COUNTIF(C:C,C80)</f>
        <v>1</v>
      </c>
      <c r="BA80" s="348" t="str">
        <f>VLOOKUP(C80,工资表明细!$C$2:$P$223,13,0)</f>
        <v>6214833691023108</v>
      </c>
      <c r="BB80" s="34" t="b">
        <f>BA80=AI80</f>
        <v>1</v>
      </c>
      <c r="BC80" s="58">
        <f>ROUND(AR80/21.75/8*3*L80,2)</f>
        <v>0</v>
      </c>
    </row>
    <row r="81" spans="1:55">
      <c r="A81" s="142"/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4"/>
      <c r="AI81" s="144"/>
      <c r="AJ81" s="144"/>
      <c r="AK81" s="144"/>
      <c r="AL81" s="144"/>
      <c r="AM81" s="144"/>
      <c r="AN81" s="144"/>
      <c r="AO81" s="144"/>
      <c r="AP81" s="144"/>
      <c r="AQ81" s="34"/>
      <c r="AR81" s="36"/>
      <c r="AS81" s="36"/>
      <c r="AT81" s="36"/>
      <c r="AU81" s="36"/>
      <c r="AV81" s="36"/>
      <c r="AW81" s="36"/>
      <c r="AX81" s="58"/>
      <c r="AY81" s="58"/>
      <c r="AZ81" s="58"/>
      <c r="BA81" s="34"/>
      <c r="BB81" s="34"/>
      <c r="BC81" s="58"/>
    </row>
    <row r="82" spans="1:55">
      <c r="A82" s="142"/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4"/>
      <c r="AI82" s="144"/>
      <c r="AJ82" s="144"/>
      <c r="AK82" s="144"/>
      <c r="AL82" s="144"/>
      <c r="AM82" s="144"/>
      <c r="AN82" s="144"/>
      <c r="AO82" s="144"/>
      <c r="AP82" s="144"/>
      <c r="AQ82" s="34"/>
      <c r="AR82" s="36"/>
      <c r="AS82" s="36"/>
      <c r="AT82" s="36"/>
      <c r="AU82" s="36"/>
      <c r="AV82" s="36"/>
      <c r="AW82" s="36"/>
      <c r="AX82" s="58"/>
      <c r="AY82" s="58"/>
      <c r="AZ82" s="58"/>
      <c r="BA82" s="34"/>
      <c r="BB82" s="34"/>
      <c r="BC82" s="58"/>
    </row>
    <row r="83" spans="1:55">
      <c r="A83" s="142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4"/>
      <c r="AI83" s="144"/>
      <c r="AJ83" s="144"/>
      <c r="AK83" s="144"/>
      <c r="AL83" s="144"/>
      <c r="AM83" s="144"/>
      <c r="AN83" s="144"/>
      <c r="AO83" s="144"/>
      <c r="AP83" s="144"/>
      <c r="AQ83" s="34"/>
      <c r="AR83" s="36"/>
      <c r="AS83" s="36"/>
      <c r="AT83" s="36"/>
      <c r="AU83" s="36"/>
      <c r="AV83" s="36"/>
      <c r="AW83" s="36"/>
      <c r="AX83" s="58"/>
      <c r="AY83" s="58"/>
      <c r="AZ83" s="58"/>
      <c r="BA83" s="34"/>
      <c r="BB83" s="34"/>
      <c r="BC83" s="58"/>
    </row>
    <row r="84" spans="1:55">
      <c r="A84" s="142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4"/>
      <c r="AI84" s="144"/>
      <c r="AJ84" s="144"/>
      <c r="AK84" s="144"/>
      <c r="AL84" s="144"/>
      <c r="AM84" s="144"/>
      <c r="AN84" s="144"/>
      <c r="AO84" s="144"/>
      <c r="AP84" s="144"/>
      <c r="AQ84" s="34"/>
      <c r="AR84" s="36"/>
      <c r="AS84" s="36"/>
      <c r="AT84" s="36"/>
      <c r="AU84" s="36"/>
      <c r="AV84" s="36"/>
      <c r="AW84" s="36"/>
      <c r="AX84" s="58"/>
      <c r="AY84" s="58"/>
      <c r="AZ84" s="58"/>
      <c r="BA84" s="34"/>
      <c r="BB84" s="34"/>
      <c r="BC84" s="58"/>
    </row>
    <row r="85" spans="1:55">
      <c r="A85" s="142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4"/>
      <c r="AI85" s="144"/>
      <c r="AJ85" s="144"/>
      <c r="AK85" s="144"/>
      <c r="AL85" s="144"/>
      <c r="AM85" s="144"/>
      <c r="AN85" s="144"/>
      <c r="AO85" s="144"/>
      <c r="AP85" s="144"/>
      <c r="AQ85" s="34"/>
      <c r="AR85" s="36"/>
      <c r="AS85" s="36"/>
      <c r="AT85" s="36"/>
      <c r="AU85" s="36"/>
      <c r="AV85" s="36"/>
      <c r="AW85" s="36"/>
      <c r="AX85" s="58"/>
      <c r="AY85" s="58"/>
      <c r="AZ85" s="58"/>
      <c r="BA85" s="34"/>
      <c r="BB85" s="34"/>
      <c r="BC85" s="58"/>
    </row>
    <row r="86" spans="1:55">
      <c r="A86" s="142"/>
      <c r="B86" s="146"/>
      <c r="D86" s="146"/>
      <c r="E86" s="146"/>
      <c r="F86" s="146"/>
      <c r="G86" s="146"/>
      <c r="H86" s="142"/>
      <c r="I86" s="146"/>
      <c r="J86" s="146"/>
      <c r="K86" s="142"/>
      <c r="L86" s="142"/>
      <c r="M86" s="146"/>
      <c r="N86" s="142"/>
      <c r="O86" s="147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 s="142"/>
      <c r="AI86" s="142"/>
      <c r="AJ86" s="146"/>
      <c r="AK86" s="146"/>
      <c r="AL86" s="146"/>
      <c r="AM86" s="146"/>
      <c r="AN86" s="146"/>
      <c r="AO86" s="146"/>
      <c r="AP86" s="146"/>
      <c r="AQ86" s="34"/>
      <c r="AR86" s="36"/>
      <c r="AS86" s="36"/>
      <c r="AT86" s="36"/>
      <c r="AU86" s="36"/>
      <c r="AV86" s="36"/>
      <c r="AW86" s="36"/>
      <c r="AZ86" s="58"/>
      <c r="BA86" s="34"/>
      <c r="BB86" s="34"/>
    </row>
    <row r="87" s="3" customFormat="1" spans="1:55">
      <c r="C87" s="58"/>
      <c r="D87" s="58"/>
      <c r="G87" s="3" t="s">
        <v>48</v>
      </c>
      <c r="H87" s="3">
        <f>SUM(H3:H86)</f>
        <v>59.25</v>
      </c>
      <c r="K87" s="3">
        <f>SUM(K2:K86)</f>
        <v>0</v>
      </c>
      <c r="L87" s="3">
        <f t="shared" ref="L87:T87" si="19">SUM(L3:L86)</f>
        <v>0</v>
      </c>
      <c r="M87" s="3">
        <f t="shared" si="19"/>
        <v>0</v>
      </c>
      <c r="N87" s="3">
        <f t="shared" si="19"/>
        <v>0</v>
      </c>
      <c r="O87" s="4">
        <f t="shared" si="19"/>
        <v>5</v>
      </c>
      <c r="P87" s="3">
        <f t="shared" si="19"/>
        <v>5</v>
      </c>
      <c r="Q87" s="3">
        <f t="shared" si="19"/>
        <v>0</v>
      </c>
      <c r="R87" s="3">
        <f t="shared" si="19"/>
        <v>0</v>
      </c>
      <c r="S87" s="3">
        <f t="shared" si="19"/>
        <v>0</v>
      </c>
      <c r="T87" s="3">
        <f t="shared" si="19"/>
        <v>0</v>
      </c>
      <c r="W87" s="3">
        <f>SUM(W3:W86)</f>
        <v>0</v>
      </c>
      <c r="X87" s="3">
        <f>SUM(X3:X86)</f>
        <v>0</v>
      </c>
      <c r="Y87" s="3">
        <f>SUM(Y3:Y86)</f>
        <v>0</v>
      </c>
      <c r="Z87" s="3">
        <f>SUM(Z3:Z86)</f>
        <v>0</v>
      </c>
      <c r="AA87" s="3">
        <f>SUM(AA3:AA86)</f>
        <v>0</v>
      </c>
      <c r="AR87" s="3">
        <f>SUM(AR3:AR86)</f>
        <v>1790300</v>
      </c>
      <c r="AS87" s="3">
        <f>SUM(AS3:AS86)</f>
        <v>0</v>
      </c>
      <c r="AU87" s="3">
        <f>SUM(AU3:AU86)</f>
        <v>0</v>
      </c>
      <c r="AV87" s="3">
        <f>SUM(AV3:AV86)</f>
        <v>0</v>
      </c>
      <c r="AW87" s="3">
        <f>SUM(AW3:AW86)</f>
        <v>0</v>
      </c>
      <c r="BC87" s="3">
        <f>SUM(BC3:BC86)</f>
        <v>0</v>
      </c>
    </row>
    <row r="88" s="3" customFormat="1" spans="1:55">
      <c r="G88" s="3" t="s">
        <v>50</v>
      </c>
      <c r="H88" s="3">
        <f>H87-动态表!T12</f>
        <v>0</v>
      </c>
      <c r="O88" s="4"/>
    </row>
  </sheetData>
  <autoFilter xmlns:etc="http://www.wps.cn/officeDocument/2017/etCustomData" ref="A2:BC85" etc:filterBottomFollowUsedRange="0">
    <extLst/>
  </autoFilter>
  <conditionalFormatting sqref="C52">
    <cfRule type="expression" dxfId="2" priority="8">
      <formula>AND(SUMPRODUCT(IFERROR(1*(($C$52&amp;"x")=(C52&amp;"x")),0))&gt;1,NOT(ISBLANK(C52)))</formula>
    </cfRule>
  </conditionalFormatting>
  <conditionalFormatting sqref="C53">
    <cfRule type="expression" dxfId="2" priority="7">
      <formula>AND(SUMPRODUCT(IFERROR(1*(($C$53&amp;"x")=(C53&amp;"x")),0))&gt;1,NOT(ISBLANK(C53)))</formula>
    </cfRule>
  </conditionalFormatting>
  <conditionalFormatting sqref="C54">
    <cfRule type="expression" dxfId="2" priority="6">
      <formula>AND(SUMPRODUCT(IFERROR(1*(($C$54&amp;"x")=(C54&amp;"x")),0))&gt;1,NOT(ISBLANK(C54)))</formula>
    </cfRule>
  </conditionalFormatting>
  <conditionalFormatting sqref="C55">
    <cfRule type="expression" dxfId="2" priority="5">
      <formula>AND(SUMPRODUCT(IFERROR(1*(($C$55&amp;"x")=(C55&amp;"x")),0))&gt;1,NOT(ISBLANK(C55)))</formula>
    </cfRule>
  </conditionalFormatting>
  <conditionalFormatting sqref="C56">
    <cfRule type="expression" dxfId="2" priority="4">
      <formula>AND(SUMPRODUCT(IFERROR(1*(($C$56&amp;"x")=(C56&amp;"x")),0))&gt;1,NOT(ISBLANK(C56)))</formula>
    </cfRule>
  </conditionalFormatting>
  <conditionalFormatting sqref="C80">
    <cfRule type="expression" dxfId="2" priority="1">
      <formula>AND(SUMPRODUCT(IFERROR(1*(($C$80&amp;"x")=(C80&amp;"x")),0))&gt;1,NOT(ISBLANK(C80)))</formula>
    </cfRule>
  </conditionalFormatting>
  <conditionalFormatting sqref="C3:C51">
    <cfRule type="expression" dxfId="2" priority="11">
      <formula>AND(SUMPRODUCT(IFERROR(1*(($C$3:$C$51&amp;"x")=(C3&amp;"x")),0))&gt;1,NOT(ISBLANK(C3)))</formula>
    </cfRule>
  </conditionalFormatting>
  <conditionalFormatting sqref="C57:C79 C81:C85">
    <cfRule type="expression" dxfId="2" priority="3">
      <formula>AND(SUMPRODUCT(IFERROR(1*(($C$57:$C$79&amp;"x")=(C57&amp;"x")),0))+SUMPRODUCT(IFERROR(1*(($C$81:$C$85&amp;"x")=(C57&amp;"x")),0))&gt;1,NOT(ISBLANK(C57)))</formula>
    </cfRule>
  </conditionalFormatting>
  <pageMargins left="0.699305555555556" right="0.699305555555556" top="0.75" bottom="0.75" header="0.3" footer="0.3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11"/>
  <dimension ref="A1:V11"/>
  <sheetViews>
    <sheetView showGridLines="0" workbookViewId="0">
      <pane xSplit="5" ySplit="1" topLeftCell="F2" activePane="bottomRight" state="frozen"/>
      <selection/>
      <selection pane="topRight"/>
      <selection pane="bottomLeft"/>
      <selection pane="bottomRight" activeCell="H17" sqref="H17"/>
    </sheetView>
  </sheetViews>
  <sheetFormatPr defaultColWidth="9.14285714285714" defaultRowHeight="15.95" customHeight="1"/>
  <cols>
    <col min="1" max="1" width="9.14285714285714" style="1"/>
    <col min="2" max="2" width="14.7142857142857" style="6" customWidth="1"/>
    <col min="3" max="3" width="17.4285714285714" style="6" customWidth="1"/>
    <col min="4" max="4" width="13.7142857142857" style="6" customWidth="1"/>
    <col min="5" max="5" width="13" style="6" customWidth="1"/>
    <col min="6" max="6" width="13" style="1" customWidth="1"/>
    <col min="7" max="7" width="9.28571428571429" style="1" customWidth="1"/>
    <col min="8" max="8" width="14.2857142857143" style="3" customWidth="1"/>
    <col min="9" max="9" width="12.4285714285714" style="3" customWidth="1"/>
    <col min="10" max="10" width="12.4285714285714" style="1" customWidth="1"/>
    <col min="11" max="14" width="9.14285714285714" style="3"/>
    <col min="15" max="15" width="10.4285714285714" style="3"/>
    <col min="16" max="16" width="11.8571428571429" style="3" customWidth="1"/>
    <col min="17" max="18" width="14.4285714285714" style="3" customWidth="1"/>
    <col min="19" max="19" width="13" style="3" customWidth="1"/>
    <col min="20" max="20" width="13" style="126" customWidth="1"/>
    <col min="21" max="21" width="14.4285714285714" style="6" customWidth="1"/>
    <col min="22" max="22" width="14.4285714285714" style="3" customWidth="1"/>
    <col min="23" max="16384" width="9.14285714285714" style="2"/>
  </cols>
  <sheetData>
    <row r="1" customHeight="1" spans="1:22">
      <c r="A1" s="127" t="s">
        <v>70</v>
      </c>
      <c r="B1" s="128" t="s">
        <v>42</v>
      </c>
      <c r="C1" s="128" t="s">
        <v>2</v>
      </c>
      <c r="D1" s="128" t="s">
        <v>72</v>
      </c>
      <c r="E1" s="128" t="s">
        <v>73</v>
      </c>
      <c r="F1" s="129" t="s">
        <v>781</v>
      </c>
      <c r="G1" s="129" t="s">
        <v>580</v>
      </c>
      <c r="H1" s="28" t="s">
        <v>11</v>
      </c>
      <c r="I1" s="130" t="s">
        <v>100</v>
      </c>
      <c r="J1" s="40" t="s">
        <v>782</v>
      </c>
      <c r="K1" s="109" t="s">
        <v>783</v>
      </c>
      <c r="L1" s="109" t="s">
        <v>784</v>
      </c>
      <c r="M1" s="109" t="s">
        <v>785</v>
      </c>
      <c r="N1" s="109"/>
      <c r="O1" s="109"/>
      <c r="P1" s="109" t="s">
        <v>4</v>
      </c>
      <c r="Q1" s="109" t="s">
        <v>786</v>
      </c>
      <c r="R1" s="109" t="s">
        <v>787</v>
      </c>
      <c r="S1" s="109" t="s">
        <v>11</v>
      </c>
      <c r="T1" s="131" t="s">
        <v>788</v>
      </c>
    </row>
    <row r="2" customHeight="1" spans="1:22">
      <c r="A2" s="127">
        <v>1</v>
      </c>
      <c r="B2" s="128"/>
      <c r="C2" s="128"/>
      <c r="D2" s="128"/>
      <c r="E2" s="128"/>
      <c r="F2" s="129"/>
      <c r="G2" s="129"/>
      <c r="H2" s="132">
        <f>ROUND(F2*G2,2)</f>
        <v>0</v>
      </c>
      <c r="I2" s="130"/>
      <c r="J2" s="40"/>
      <c r="K2" s="3" t="e">
        <f>VLOOKUP(D2,考勤!$C$2:$D$189,2,0)</f>
        <v>#N/A</v>
      </c>
      <c r="L2" s="109" t="e">
        <f>IF(E2=K2,1)</f>
        <v>#N/A</v>
      </c>
      <c r="M2" s="109">
        <f>COUNTIF(D:D,D2)</f>
        <v>0</v>
      </c>
      <c r="P2" s="3">
        <f>VLOOKUP(D2,工资表明细!$C$2:$P$290,14,0)</f>
        <v>0</v>
      </c>
      <c r="Q2" s="3" t="e">
        <f>VLOOKUP($D2,考勤!$C$2:$L$100,9,0)</f>
        <v>#N/A</v>
      </c>
      <c r="R2" s="3" t="e">
        <f>VLOOKUP($D2,考勤!$C$2:$L$100,10,0)</f>
        <v>#N/A</v>
      </c>
      <c r="S2" s="109" t="e">
        <f>ROUND((P2/21.75/8*2*Q2)+(P2/21.75/8*3*R2),2)</f>
        <v>#N/A</v>
      </c>
      <c r="T2" s="131" t="e">
        <f>H2+S2</f>
        <v>#N/A</v>
      </c>
      <c r="V2" s="3">
        <f>COUNTIF(D:D,D2)</f>
        <v>0</v>
      </c>
    </row>
    <row r="3" customHeight="1" spans="1:22">
      <c r="A3" s="127">
        <v>2</v>
      </c>
      <c r="B3" s="128"/>
      <c r="C3" s="128"/>
      <c r="D3" s="128"/>
      <c r="E3" s="128"/>
      <c r="F3" s="129"/>
      <c r="G3" s="129"/>
      <c r="H3" s="132">
        <f>ROUND(F3*G3,2)</f>
        <v>0</v>
      </c>
      <c r="I3" s="130"/>
      <c r="J3" s="40"/>
      <c r="K3" s="3" t="e">
        <f>VLOOKUP(D3,考勤!$C$2:$D$189,2,0)</f>
        <v>#N/A</v>
      </c>
      <c r="L3" s="109" t="e">
        <f>IF(E3=K3,1)</f>
        <v>#N/A</v>
      </c>
      <c r="M3" s="109">
        <f>COUNTIF(D:D,D3)</f>
        <v>0</v>
      </c>
      <c r="P3" s="3">
        <f>VLOOKUP(D3,工资表明细!$C$2:$P$290,14,0)</f>
        <v>0</v>
      </c>
      <c r="Q3" s="3" t="e">
        <f>VLOOKUP($D3,考勤!$C$2:$L$100,9,0)</f>
        <v>#N/A</v>
      </c>
      <c r="R3" s="3" t="e">
        <f>VLOOKUP($D3,考勤!$C$2:$L$100,10,0)</f>
        <v>#N/A</v>
      </c>
      <c r="S3" s="109" t="e">
        <f>ROUND((P3/21.75/8*2*Q3)+(P3/21.75/8*3*R3),2)</f>
        <v>#N/A</v>
      </c>
      <c r="T3" s="131" t="e">
        <f>H3+S3</f>
        <v>#N/A</v>
      </c>
      <c r="V3" s="3">
        <f>COUNTIF(D:D,D3)</f>
        <v>0</v>
      </c>
    </row>
    <row r="4" customHeight="1" spans="1:22">
      <c r="A4" s="127">
        <v>3</v>
      </c>
      <c r="B4" s="128"/>
      <c r="C4" s="128"/>
      <c r="D4" s="128"/>
      <c r="E4" s="128"/>
      <c r="F4" s="129"/>
      <c r="G4" s="129"/>
      <c r="H4" s="132">
        <f>ROUND(F4*G4,2)</f>
        <v>0</v>
      </c>
      <c r="I4" s="130"/>
      <c r="J4" s="40"/>
      <c r="K4" s="3" t="e">
        <f>VLOOKUP(D4,考勤!$C$2:$D$189,2,0)</f>
        <v>#N/A</v>
      </c>
      <c r="L4" s="109" t="e">
        <f>IF(E4=K4,1)</f>
        <v>#N/A</v>
      </c>
      <c r="M4" s="109">
        <f>COUNTIF(D:D,D4)</f>
        <v>0</v>
      </c>
      <c r="P4" s="3">
        <f>VLOOKUP(D4,工资表明细!$C$2:$P$290,14,0)</f>
        <v>0</v>
      </c>
      <c r="Q4" s="3" t="e">
        <f>VLOOKUP($D4,考勤!$C$2:$L$100,9,0)</f>
        <v>#N/A</v>
      </c>
      <c r="R4" s="3" t="e">
        <f>VLOOKUP($D4,考勤!$C$2:$L$100,10,0)</f>
        <v>#N/A</v>
      </c>
      <c r="S4" s="109" t="e">
        <f>ROUND((P4/21.75/8*2*Q4)+(P4/21.75/8*3*R4),2)</f>
        <v>#N/A</v>
      </c>
      <c r="T4" s="131" t="e">
        <f>H4+S4</f>
        <v>#N/A</v>
      </c>
      <c r="V4" s="3">
        <f>COUNTIF(D:D,D4)</f>
        <v>0</v>
      </c>
    </row>
    <row r="5" customHeight="1" spans="1:22">
      <c r="A5" s="127">
        <v>4</v>
      </c>
      <c r="B5" s="128"/>
      <c r="C5" s="128"/>
      <c r="D5" s="128"/>
      <c r="E5" s="128"/>
      <c r="F5" s="129"/>
      <c r="G5" s="129"/>
      <c r="H5" s="132">
        <f>ROUND(F5*G5,2)</f>
        <v>0</v>
      </c>
      <c r="I5" s="130"/>
      <c r="J5" s="40"/>
      <c r="K5" s="3" t="e">
        <f>VLOOKUP(D5,考勤!$C$2:$D$189,2,0)</f>
        <v>#N/A</v>
      </c>
      <c r="L5" s="109" t="e">
        <f>IF(E5=K5,1)</f>
        <v>#N/A</v>
      </c>
      <c r="M5" s="109">
        <f>COUNTIF(D:D,D5)</f>
        <v>0</v>
      </c>
      <c r="P5" s="3">
        <f>VLOOKUP(D5,工资表明细!$C$2:$P$290,14,0)</f>
        <v>0</v>
      </c>
      <c r="Q5" s="3" t="e">
        <f>VLOOKUP($D5,考勤!$C$2:$L$100,9,0)</f>
        <v>#N/A</v>
      </c>
      <c r="R5" s="3" t="e">
        <f>VLOOKUP($D5,考勤!$C$2:$L$100,10,0)</f>
        <v>#N/A</v>
      </c>
      <c r="S5" s="109" t="e">
        <f>ROUND((P5/21.75/8*2*Q5)+(P5/21.75/8*3*R5),2)</f>
        <v>#N/A</v>
      </c>
      <c r="T5" s="131" t="e">
        <f>H5+S5</f>
        <v>#N/A</v>
      </c>
      <c r="V5" s="3">
        <f>COUNTIF(D:D,D5)</f>
        <v>0</v>
      </c>
    </row>
    <row r="6" s="110" customFormat="1" customHeight="1" spans="1:22">
      <c r="A6" s="33"/>
      <c r="B6" s="39"/>
      <c r="C6" s="39"/>
      <c r="D6" s="39"/>
      <c r="E6" s="39"/>
      <c r="F6" s="40"/>
      <c r="G6" s="40"/>
      <c r="H6" s="36"/>
      <c r="I6" s="109"/>
      <c r="J6" s="40"/>
      <c r="K6" s="58"/>
      <c r="L6" s="109"/>
      <c r="M6" s="109"/>
      <c r="N6" s="58"/>
      <c r="O6" s="58"/>
      <c r="P6" s="58"/>
      <c r="Q6" s="58"/>
      <c r="R6" s="58"/>
      <c r="S6" s="109"/>
      <c r="T6" s="109"/>
      <c r="U6" s="34"/>
      <c r="V6" s="58"/>
    </row>
    <row r="7" customHeight="1" spans="1:22">
      <c r="H7" s="58"/>
      <c r="J7" s="133"/>
      <c r="L7" s="109"/>
      <c r="M7" s="109"/>
      <c r="S7" s="109"/>
      <c r="T7" s="131"/>
      <c r="V7" s="3">
        <f>COUNTIF(D:D,D7)</f>
        <v>0</v>
      </c>
    </row>
    <row r="10" customHeight="1" spans="1:22">
      <c r="G10" s="2" t="s">
        <v>48</v>
      </c>
      <c r="H10" s="3">
        <f>SUM(H2:H9)</f>
        <v>0</v>
      </c>
    </row>
    <row r="11" customHeight="1" spans="1:22">
      <c r="G11" s="29" t="s">
        <v>50</v>
      </c>
      <c r="H11" s="3">
        <f>工资表明细!W83-H10-考勤!AW87</f>
        <v>0</v>
      </c>
    </row>
  </sheetData>
  <autoFilter xmlns:etc="http://www.wps.cn/officeDocument/2017/etCustomData" ref="A1:V7" etc:filterBottomFollowUsedRange="0">
    <extLst/>
  </autoFilter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9">
    <tabColor rgb="FF92D050"/>
  </sheetPr>
  <dimension ref="A1:AG27"/>
  <sheetViews>
    <sheetView showGridLines="0" zoomScale="80" zoomScaleNormal="80" workbookViewId="0">
      <pane xSplit="3" ySplit="1" topLeftCell="D2" activePane="bottomRight" state="frozen"/>
      <selection/>
      <selection pane="topRight"/>
      <selection pane="bottomLeft"/>
      <selection pane="bottomRight" activeCell="K2" sqref="K2:K5"/>
    </sheetView>
  </sheetViews>
  <sheetFormatPr defaultColWidth="9" defaultRowHeight="15.95" customHeight="1"/>
  <cols>
    <col min="1" max="1" width="6.14285714285714" style="1" customWidth="1"/>
    <col min="2" max="2" width="11.4285714285714" style="2" customWidth="1"/>
    <col min="3" max="3" width="11.2857142857143" style="2" customWidth="1"/>
    <col min="4" max="4" width="10.2857142857143" style="58" customWidth="1"/>
    <col min="5" max="5" width="13.8571428571429" style="58" customWidth="1"/>
    <col min="6" max="6" width="12.1428571428571" style="58" customWidth="1"/>
    <col min="7" max="7" width="12.4285714285714" style="58" customWidth="1"/>
    <col min="8" max="9" width="12.1428571428571" style="58" customWidth="1"/>
    <col min="10" max="11" width="13.1428571428571" style="58" customWidth="1"/>
    <col min="12" max="12" width="11.8571428571429" style="58" customWidth="1"/>
    <col min="13" max="14" width="11.7142857142857" style="58" customWidth="1"/>
    <col min="15" max="15" width="7.42857142857143" style="1" customWidth="1"/>
    <col min="16" max="16" width="46" style="18" customWidth="1"/>
    <col min="17" max="17" width="10.4285714285714" style="2" customWidth="1"/>
    <col min="18" max="19" width="7.14285714285714" style="1" customWidth="1"/>
    <col min="20" max="20" width="14.4285714285714" style="2" customWidth="1"/>
    <col min="21" max="21" width="15.5714285714286" style="2" customWidth="1"/>
    <col min="22" max="22" width="12.7142857142857" style="1" customWidth="1"/>
    <col min="23" max="23" width="12.5714285714286" style="1" customWidth="1"/>
    <col min="24" max="24" width="10.4285714285714" style="1" customWidth="1"/>
    <col min="25" max="25" width="9" style="1" customWidth="1"/>
    <col min="26" max="26" width="12.5714285714286" style="6" customWidth="1"/>
    <col min="27" max="28" width="8.42857142857143" style="6" customWidth="1"/>
    <col min="29" max="31" width="8.28571428571429" style="6" customWidth="1"/>
    <col min="32" max="32" width="15.8571428571429" style="6"/>
    <col min="33" max="33" width="9" style="6"/>
    <col min="34" max="34" width="14.4285714285714" style="2"/>
    <col min="35" max="16384" width="9" style="2"/>
  </cols>
  <sheetData>
    <row r="1" ht="24.95" customHeight="1" spans="1:33">
      <c r="A1" s="111" t="s">
        <v>70</v>
      </c>
      <c r="B1" s="112" t="s">
        <v>72</v>
      </c>
      <c r="C1" s="112" t="s">
        <v>73</v>
      </c>
      <c r="D1" s="28" t="s">
        <v>5</v>
      </c>
      <c r="E1" s="28" t="s">
        <v>8</v>
      </c>
      <c r="F1" s="28" t="s">
        <v>14</v>
      </c>
      <c r="G1" s="113" t="s">
        <v>15</v>
      </c>
      <c r="H1" s="28" t="s">
        <v>6</v>
      </c>
      <c r="I1" s="28" t="s">
        <v>7</v>
      </c>
      <c r="J1" s="28" t="s">
        <v>13</v>
      </c>
      <c r="K1" s="113" t="s">
        <v>18</v>
      </c>
      <c r="L1" s="28" t="s">
        <v>10</v>
      </c>
      <c r="M1" s="28" t="s">
        <v>16</v>
      </c>
      <c r="N1" s="28" t="s">
        <v>17</v>
      </c>
      <c r="O1" s="30"/>
      <c r="P1" s="114" t="s">
        <v>100</v>
      </c>
      <c r="Q1" s="115" t="s">
        <v>783</v>
      </c>
      <c r="R1" s="45" t="s">
        <v>784</v>
      </c>
      <c r="S1" s="45" t="s">
        <v>784</v>
      </c>
      <c r="T1" s="34" t="s">
        <v>789</v>
      </c>
      <c r="U1" s="116" t="s">
        <v>77</v>
      </c>
    </row>
    <row r="2" ht="16.5" spans="1:33">
      <c r="A2" s="117">
        <v>1</v>
      </c>
      <c r="B2" s="118" t="s">
        <v>316</v>
      </c>
      <c r="C2" s="118" t="s">
        <v>317</v>
      </c>
      <c r="D2" s="119"/>
      <c r="E2" s="119"/>
      <c r="F2" s="119"/>
      <c r="G2" s="119"/>
      <c r="H2" s="119"/>
      <c r="I2" s="119"/>
      <c r="J2" s="119"/>
      <c r="K2" s="120">
        <v>200</v>
      </c>
      <c r="L2" s="119"/>
      <c r="M2" s="119"/>
      <c r="N2" s="119"/>
      <c r="O2" s="37">
        <v>1</v>
      </c>
      <c r="P2" s="76" t="s">
        <v>790</v>
      </c>
      <c r="Q2" s="121" t="str">
        <f>VLOOKUP(B2,考勤!C:F,2,0)</f>
        <v>吴润泽</v>
      </c>
      <c r="R2" s="122">
        <f t="shared" ref="R2:R9" si="0">IF(C2=Q2,1)</f>
        <v>1</v>
      </c>
      <c r="S2" s="122">
        <f t="shared" ref="S2:S9" si="1">COUNTIF(B:B,B2)</f>
        <v>1</v>
      </c>
      <c r="T2" s="34" t="b">
        <f>VLOOKUP(B2,工资表明细!$C$2:$D$282,2,0)=C2</f>
        <v>1</v>
      </c>
      <c r="U2" s="31">
        <f>VLOOKUP(B2,工资表明细!$C$2:$I$282,7,0)</f>
        <v>0</v>
      </c>
      <c r="V2" s="5"/>
    </row>
    <row r="3" customFormat="1" ht="16.5" spans="1:33">
      <c r="A3" s="117">
        <v>2</v>
      </c>
      <c r="B3" s="118" t="s">
        <v>364</v>
      </c>
      <c r="C3" s="118" t="s">
        <v>365</v>
      </c>
      <c r="D3" s="119"/>
      <c r="E3" s="119"/>
      <c r="F3" s="119"/>
      <c r="G3" s="119"/>
      <c r="H3" s="119"/>
      <c r="I3" s="119"/>
      <c r="J3" s="119"/>
      <c r="K3" s="120">
        <v>200</v>
      </c>
      <c r="L3" s="119"/>
      <c r="M3" s="119"/>
      <c r="N3" s="119"/>
      <c r="O3" s="37">
        <v>1</v>
      </c>
      <c r="P3" s="76" t="s">
        <v>790</v>
      </c>
      <c r="Q3" s="121" t="str">
        <f>VLOOKUP(B3,考勤!C:F,2,0)</f>
        <v>陈碧云</v>
      </c>
      <c r="R3" s="122">
        <f t="shared" si="0"/>
        <v>1</v>
      </c>
      <c r="S3" s="122">
        <f t="shared" si="1"/>
        <v>1</v>
      </c>
      <c r="T3" s="34" t="b">
        <f>VLOOKUP(B3,工资表明细!$C$2:$D$282,2,0)=C3</f>
        <v>1</v>
      </c>
      <c r="U3" s="31">
        <f>VLOOKUP(B3,工资表明细!$C$2:$I$282,7,0)</f>
        <v>0</v>
      </c>
      <c r="V3" s="5"/>
      <c r="W3" s="1"/>
      <c r="X3" s="1"/>
      <c r="Y3" s="1"/>
      <c r="Z3" s="6"/>
      <c r="AA3" s="6"/>
      <c r="AB3" s="6"/>
      <c r="AC3" s="6"/>
      <c r="AD3" s="6"/>
      <c r="AE3" s="6"/>
      <c r="AF3" s="6"/>
      <c r="AG3" s="6"/>
    </row>
    <row r="4" customFormat="1" ht="16.5" spans="1:33">
      <c r="A4" s="117">
        <v>3</v>
      </c>
      <c r="B4" s="118" t="s">
        <v>369</v>
      </c>
      <c r="C4" s="118" t="s">
        <v>370</v>
      </c>
      <c r="D4" s="119"/>
      <c r="E4" s="119"/>
      <c r="F4" s="119"/>
      <c r="G4" s="119"/>
      <c r="H4" s="119"/>
      <c r="I4" s="119"/>
      <c r="J4" s="119"/>
      <c r="K4" s="120">
        <v>200</v>
      </c>
      <c r="L4" s="119"/>
      <c r="M4" s="119"/>
      <c r="N4" s="119"/>
      <c r="O4" s="37">
        <v>1</v>
      </c>
      <c r="P4" s="76" t="s">
        <v>790</v>
      </c>
      <c r="Q4" s="121" t="str">
        <f>VLOOKUP(B4,考勤!C:F,2,0)</f>
        <v>陈志鹏</v>
      </c>
      <c r="R4" s="122">
        <f t="shared" si="0"/>
        <v>1</v>
      </c>
      <c r="S4" s="122">
        <f t="shared" si="1"/>
        <v>1</v>
      </c>
      <c r="T4" s="34" t="b">
        <f>VLOOKUP(B4,工资表明细!$C$2:$D$282,2,0)=C4</f>
        <v>1</v>
      </c>
      <c r="U4" s="31">
        <f>VLOOKUP(B4,工资表明细!$C$2:$I$282,7,0)</f>
        <v>0</v>
      </c>
      <c r="V4" s="5"/>
      <c r="W4" s="1"/>
      <c r="X4" s="1"/>
      <c r="Y4" s="1"/>
      <c r="Z4" s="6"/>
      <c r="AA4" s="6"/>
      <c r="AB4" s="6"/>
      <c r="AC4" s="6"/>
      <c r="AD4" s="6"/>
      <c r="AE4" s="6"/>
      <c r="AF4" s="6"/>
      <c r="AG4" s="6"/>
    </row>
    <row r="5" customFormat="1" ht="16.5" spans="1:33">
      <c r="A5" s="117">
        <v>4</v>
      </c>
      <c r="B5" s="118" t="s">
        <v>464</v>
      </c>
      <c r="C5" s="118" t="s">
        <v>465</v>
      </c>
      <c r="D5" s="119"/>
      <c r="E5" s="119"/>
      <c r="F5" s="119"/>
      <c r="G5" s="119"/>
      <c r="H5" s="119"/>
      <c r="I5" s="119"/>
      <c r="J5" s="119"/>
      <c r="K5" s="120">
        <v>200</v>
      </c>
      <c r="L5" s="119"/>
      <c r="M5" s="119"/>
      <c r="N5" s="119"/>
      <c r="O5" s="37">
        <v>1</v>
      </c>
      <c r="P5" s="76" t="s">
        <v>790</v>
      </c>
      <c r="Q5" s="121" t="str">
        <f>VLOOKUP(B5,考勤!C:F,2,0)</f>
        <v>罗凯成</v>
      </c>
      <c r="R5" s="122">
        <f t="shared" si="0"/>
        <v>1</v>
      </c>
      <c r="S5" s="122">
        <f t="shared" si="1"/>
        <v>1</v>
      </c>
      <c r="T5" s="34" t="b">
        <f>VLOOKUP(B5,工资表明细!$C$2:$D$282,2,0)=C5</f>
        <v>1</v>
      </c>
      <c r="U5" s="31">
        <f>VLOOKUP(B5,工资表明细!$C$2:$I$282,7,0)</f>
        <v>0</v>
      </c>
      <c r="V5" s="5"/>
      <c r="W5" s="1"/>
      <c r="X5" s="1"/>
      <c r="Y5" s="1"/>
      <c r="Z5" s="6"/>
      <c r="AA5" s="6"/>
      <c r="AB5" s="6"/>
      <c r="AC5" s="6"/>
      <c r="AD5" s="6"/>
      <c r="AE5" s="6"/>
      <c r="AF5" s="6"/>
      <c r="AG5" s="6"/>
    </row>
    <row r="6" s="110" customFormat="1" customHeight="1" spans="1:33">
      <c r="A6" s="117">
        <v>1</v>
      </c>
      <c r="B6" s="118"/>
      <c r="C6" s="118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37"/>
      <c r="P6" s="123" t="str">
        <f>"剩余"&amp;W6&amp;"天剩余年假工资结算"</f>
        <v>剩余天剩余年假工资结算</v>
      </c>
      <c r="Q6" s="121" t="e">
        <f>VLOOKUP(B6,考勤!C:F,2,0)</f>
        <v>#N/A</v>
      </c>
      <c r="R6" s="122" t="e">
        <f t="shared" si="0"/>
        <v>#N/A</v>
      </c>
      <c r="S6" s="122">
        <f t="shared" si="1"/>
        <v>0</v>
      </c>
      <c r="T6" s="34" t="b">
        <f>VLOOKUP(B6,工资表明细!$C$2:$D$282,2,0)=C6</f>
        <v>1</v>
      </c>
      <c r="U6" s="31">
        <f>VLOOKUP(B6,工资表明细!$C$2:$I$282,7,0)</f>
        <v>0</v>
      </c>
      <c r="V6" s="1" t="e">
        <f>VLOOKUP(B6,工资表明细!$C$2:$P$59,14,0)</f>
        <v>#N/A</v>
      </c>
      <c r="W6" s="1"/>
      <c r="X6" s="1" t="e">
        <f>ROUND(V6/21.75*W6,2)</f>
        <v>#N/A</v>
      </c>
      <c r="Y6" s="33" t="e">
        <f>X6-K6</f>
        <v>#N/A</v>
      </c>
      <c r="Z6" s="33"/>
      <c r="AA6" s="33"/>
      <c r="AB6" s="34"/>
      <c r="AC6" s="34"/>
      <c r="AD6" s="34"/>
      <c r="AE6" s="34"/>
      <c r="AF6" s="34"/>
      <c r="AG6" s="34"/>
    </row>
    <row r="7" s="110" customFormat="1" ht="16.5" spans="1:33">
      <c r="A7" s="117">
        <v>2</v>
      </c>
      <c r="B7" s="118"/>
      <c r="C7" s="118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37"/>
      <c r="P7" s="123" t="str">
        <f>"剩余"&amp;W7&amp;"天剩余年假工资结算"</f>
        <v>剩余天剩余年假工资结算</v>
      </c>
      <c r="Q7" s="121" t="e">
        <f>VLOOKUP(B7,考勤!C:F,2,0)</f>
        <v>#N/A</v>
      </c>
      <c r="R7" s="122" t="e">
        <f t="shared" si="0"/>
        <v>#N/A</v>
      </c>
      <c r="S7" s="122">
        <f t="shared" si="1"/>
        <v>0</v>
      </c>
      <c r="T7" s="34" t="b">
        <f>VLOOKUP(B7,工资表明细!$C$2:$D$282,2,0)=C7</f>
        <v>1</v>
      </c>
      <c r="U7" s="31">
        <f>VLOOKUP(B7,工资表明细!$C$2:$I$282,7,0)</f>
        <v>0</v>
      </c>
      <c r="V7" s="1" t="e">
        <f>VLOOKUP(B7,工资表明细!$C$2:$P$59,14,0)</f>
        <v>#N/A</v>
      </c>
      <c r="W7" s="1"/>
      <c r="X7" s="1" t="e">
        <f>ROUND(V7/21.75*W7,2)</f>
        <v>#N/A</v>
      </c>
      <c r="Y7" s="33" t="e">
        <f>X7-K7</f>
        <v>#N/A</v>
      </c>
      <c r="Z7" s="6"/>
      <c r="AA7" s="6"/>
      <c r="AB7" s="6"/>
      <c r="AC7" s="6"/>
      <c r="AD7" s="6"/>
      <c r="AE7" s="6"/>
      <c r="AF7" s="6"/>
      <c r="AG7" s="6"/>
    </row>
    <row r="8" s="110" customFormat="1" ht="16.5" spans="1:33">
      <c r="A8" s="117">
        <v>1</v>
      </c>
      <c r="B8" s="118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37"/>
      <c r="P8" s="88" t="str">
        <f>"剩余"&amp;W8&amp;"小时加班调休结算"</f>
        <v>剩余小时加班调休结算</v>
      </c>
      <c r="Q8" s="121" t="e">
        <f>VLOOKUP(B8,考勤!C:F,2,0)</f>
        <v>#N/A</v>
      </c>
      <c r="R8" s="122" t="e">
        <f t="shared" si="0"/>
        <v>#N/A</v>
      </c>
      <c r="S8" s="122">
        <f t="shared" si="1"/>
        <v>0</v>
      </c>
      <c r="T8" s="34" t="b">
        <f>VLOOKUP(B8,工资表明细!$C$2:$D$282,2,0)=C8</f>
        <v>1</v>
      </c>
      <c r="U8" s="31">
        <f>VLOOKUP(B8,工资表明细!$C$2:$I$282,7,0)</f>
        <v>0</v>
      </c>
      <c r="V8" s="1" t="e">
        <f>VLOOKUP(B8,工资表明细!$C$2:$P$59,14,0)</f>
        <v>#N/A</v>
      </c>
      <c r="W8" s="1"/>
      <c r="X8" s="1" t="e">
        <f>ROUND(V8/21.75/8*W8,2)</f>
        <v>#N/A</v>
      </c>
      <c r="Y8" s="33" t="e">
        <f>X8-K8</f>
        <v>#N/A</v>
      </c>
      <c r="Z8" s="6"/>
      <c r="AA8" s="6"/>
      <c r="AB8" s="6"/>
      <c r="AC8" s="6"/>
      <c r="AD8" s="6"/>
      <c r="AE8" s="6"/>
      <c r="AF8" s="6"/>
      <c r="AG8" s="6"/>
    </row>
    <row r="9" s="110" customFormat="1" ht="16.5" spans="1:33">
      <c r="A9" s="117">
        <v>2</v>
      </c>
      <c r="B9" s="118"/>
      <c r="C9" s="118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37"/>
      <c r="P9" s="88" t="str">
        <f>"剩余"&amp;W9&amp;"小时加班调休结算"</f>
        <v>剩余小时加班调休结算</v>
      </c>
      <c r="Q9" s="121" t="e">
        <f>VLOOKUP(B9,考勤!C:F,2,0)</f>
        <v>#N/A</v>
      </c>
      <c r="R9" s="122" t="e">
        <f t="shared" si="0"/>
        <v>#N/A</v>
      </c>
      <c r="S9" s="122">
        <f t="shared" si="1"/>
        <v>0</v>
      </c>
      <c r="T9" s="34" t="b">
        <f>VLOOKUP(B9,工资表明细!$C$2:$D$282,2,0)=C9</f>
        <v>1</v>
      </c>
      <c r="U9" s="31">
        <f>VLOOKUP(B9,工资表明细!$C$2:$I$282,7,0)</f>
        <v>0</v>
      </c>
      <c r="V9" s="1" t="e">
        <f>VLOOKUP(B9,工资表明细!$C$2:$P$59,14,0)</f>
        <v>#N/A</v>
      </c>
      <c r="W9" s="1"/>
      <c r="X9" s="1" t="e">
        <f>ROUND(V9/21.75/8*W9,2)</f>
        <v>#N/A</v>
      </c>
      <c r="Y9" s="33" t="e">
        <f>X9-K9</f>
        <v>#N/A</v>
      </c>
      <c r="Z9" s="6"/>
      <c r="AA9" s="6"/>
      <c r="AB9" s="6"/>
      <c r="AC9" s="6"/>
      <c r="AD9" s="6"/>
      <c r="AE9" s="6"/>
      <c r="AF9" s="6"/>
      <c r="AG9" s="6"/>
    </row>
    <row r="10" s="110" customFormat="1" customHeight="1" spans="1:33">
      <c r="A10" s="117"/>
      <c r="B10" s="118"/>
      <c r="C10" s="118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37"/>
      <c r="P10" s="123"/>
      <c r="Q10" s="121"/>
      <c r="R10" s="122"/>
      <c r="S10" s="122"/>
      <c r="T10" s="34"/>
      <c r="U10" s="31"/>
      <c r="V10" s="1"/>
      <c r="W10" s="1"/>
      <c r="X10" s="1"/>
      <c r="Y10" s="33"/>
      <c r="Z10" s="6"/>
      <c r="AA10" s="34"/>
      <c r="AB10" s="34"/>
      <c r="AC10" s="34"/>
      <c r="AD10" s="34"/>
      <c r="AE10" s="34"/>
      <c r="AF10" s="34"/>
      <c r="AG10" s="34"/>
    </row>
    <row r="11" s="110" customFormat="1" customHeight="1" spans="1:33">
      <c r="A11" s="117"/>
      <c r="B11" s="118"/>
      <c r="C11" s="118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37"/>
      <c r="P11" s="123"/>
      <c r="Q11" s="121"/>
      <c r="R11" s="122"/>
      <c r="S11" s="122"/>
      <c r="T11" s="34"/>
      <c r="U11" s="31"/>
      <c r="V11" s="1"/>
      <c r="W11" s="1"/>
      <c r="X11" s="1"/>
      <c r="Y11" s="33"/>
      <c r="Z11" s="6"/>
      <c r="AA11" s="34"/>
      <c r="AB11" s="34"/>
      <c r="AC11" s="34"/>
      <c r="AD11" s="34"/>
      <c r="AE11" s="34"/>
      <c r="AF11" s="34"/>
      <c r="AG11" s="34"/>
    </row>
    <row r="12" customHeight="1" spans="1:33">
      <c r="O12" s="30"/>
      <c r="P12" s="124"/>
    </row>
    <row r="13" customHeight="1" spans="1:33">
      <c r="O13" s="30"/>
      <c r="P13" s="124"/>
    </row>
    <row r="14" customHeight="1" spans="1:33">
      <c r="C14" s="2" t="s">
        <v>48</v>
      </c>
      <c r="D14" s="125">
        <f t="shared" ref="D14:N14" si="2">SUM(D2:D13)</f>
        <v>0</v>
      </c>
      <c r="E14" s="125">
        <f t="shared" si="2"/>
        <v>0</v>
      </c>
      <c r="F14" s="125">
        <f t="shared" si="2"/>
        <v>0</v>
      </c>
      <c r="G14" s="125">
        <f t="shared" si="2"/>
        <v>0</v>
      </c>
      <c r="H14" s="125">
        <f t="shared" si="2"/>
        <v>0</v>
      </c>
      <c r="I14" s="125">
        <f t="shared" si="2"/>
        <v>0</v>
      </c>
      <c r="J14" s="125">
        <f t="shared" si="2"/>
        <v>0</v>
      </c>
      <c r="K14" s="125">
        <f t="shared" si="2"/>
        <v>800</v>
      </c>
      <c r="L14" s="125">
        <f t="shared" si="2"/>
        <v>0</v>
      </c>
      <c r="M14" s="125">
        <f t="shared" si="2"/>
        <v>0</v>
      </c>
      <c r="N14" s="125">
        <f t="shared" si="2"/>
        <v>0</v>
      </c>
      <c r="P14" s="124"/>
      <c r="S14" s="1" t="e">
        <f>ROUND(V6/21.75,2)</f>
        <v>#N/A</v>
      </c>
      <c r="T14" s="3" t="e">
        <f>S14-X6</f>
        <v>#N/A</v>
      </c>
      <c r="U14" s="3" t="e">
        <f>S14*3-X8</f>
        <v>#N/A</v>
      </c>
    </row>
    <row r="15" customHeight="1" spans="1:33">
      <c r="C15" s="29" t="s">
        <v>50</v>
      </c>
      <c r="D15" s="36">
        <f>D14-工资表明细!Q83</f>
        <v>0</v>
      </c>
      <c r="E15" s="36">
        <f>E14-工资表明细!T83</f>
        <v>0</v>
      </c>
      <c r="F15" s="36">
        <f>F14-工资表明细!Z83</f>
        <v>0</v>
      </c>
      <c r="G15" s="36">
        <f>G14-工资表明细!AA83</f>
        <v>0</v>
      </c>
      <c r="H15" s="36">
        <f>H14-工资表明细!R83</f>
        <v>0</v>
      </c>
      <c r="I15" s="36">
        <f>I14-工资表明细!S83</f>
        <v>0</v>
      </c>
      <c r="J15" s="36">
        <f>J14-工资表明细!Y83</f>
        <v>0</v>
      </c>
      <c r="K15" s="36">
        <f>K14-工资表明细!AD83</f>
        <v>0</v>
      </c>
      <c r="L15" s="36">
        <f>工资表明细!V83-动态表!AA12-L14</f>
        <v>0</v>
      </c>
      <c r="M15" s="36">
        <f>M14-工资表明细!AB83</f>
        <v>0</v>
      </c>
      <c r="N15" s="36">
        <f>N14-工资表明细!AC83</f>
        <v>0</v>
      </c>
      <c r="P15" s="124"/>
      <c r="S15" s="1" t="e">
        <f>ROUND(V7/21.75,2)</f>
        <v>#N/A</v>
      </c>
      <c r="T15" s="3" t="e">
        <f>S15-X7</f>
        <v>#N/A</v>
      </c>
      <c r="U15" s="3" t="e">
        <f>V9/21.75*0.5-X9</f>
        <v>#N/A</v>
      </c>
    </row>
    <row r="16" customHeight="1" spans="1:33">
      <c r="P16" s="124"/>
    </row>
    <row r="17" customHeight="1" spans="16:16">
      <c r="P17" s="124"/>
    </row>
    <row r="18" customHeight="1" spans="16:16">
      <c r="P18" s="91"/>
    </row>
    <row r="19" customHeight="1" spans="16:16">
      <c r="P19" s="91"/>
    </row>
    <row r="20" customHeight="1" spans="16:16">
      <c r="P20" s="91"/>
    </row>
    <row r="21" customHeight="1" spans="16:16">
      <c r="P21" s="91"/>
    </row>
    <row r="22" customHeight="1" spans="16:16">
      <c r="P22" s="91"/>
    </row>
    <row r="23" customHeight="1" spans="16:16">
      <c r="P23" s="91"/>
    </row>
    <row r="24" customHeight="1" spans="16:16">
      <c r="P24" s="91"/>
    </row>
    <row r="25" customHeight="1" spans="16:16">
      <c r="P25" s="91"/>
    </row>
    <row r="26" customHeight="1" spans="16:16">
      <c r="P26" s="91"/>
    </row>
    <row r="27" customHeight="1" spans="16:16">
      <c r="P27" s="91"/>
    </row>
  </sheetData>
  <autoFilter xmlns:etc="http://www.wps.cn/officeDocument/2017/etCustomData" ref="A1:V9" etc:filterBottomFollowUsedRange="0">
    <extLst/>
  </autoFilter>
  <pageMargins left="0.699305555555556" right="0.699305555555556" top="0.75" bottom="0.75" header="0.3" footer="0.3"/>
  <pageSetup paperSize="9" orientation="portrait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1112"/>
  <dimension ref="A2:Q43"/>
  <sheetViews>
    <sheetView showGridLines="0" workbookViewId="0">
      <pane xSplit="5" ySplit="2" topLeftCell="F3" activePane="bottomRight" state="frozen"/>
      <selection/>
      <selection pane="topRight"/>
      <selection pane="bottomLeft"/>
      <selection pane="bottomRight" activeCell="H17" sqref="H17"/>
    </sheetView>
  </sheetViews>
  <sheetFormatPr defaultColWidth="9" defaultRowHeight="16.5"/>
  <cols>
    <col min="1" max="1" width="5.28571428571429" style="1" customWidth="1"/>
    <col min="2" max="2" width="20" style="2" customWidth="1"/>
    <col min="3" max="3" width="15.8571428571429" style="2" customWidth="1"/>
    <col min="4" max="5" width="14.1428571428571" style="2" customWidth="1"/>
    <col min="6" max="6" width="14.8571428571429" style="3" customWidth="1"/>
    <col min="7" max="7" width="23.4285714285714" style="2" customWidth="1"/>
    <col min="8" max="8" width="11" style="1" customWidth="1"/>
    <col min="9" max="9" width="14.4285714285714" style="2"/>
    <col min="10" max="12" width="9" style="2"/>
    <col min="13" max="13" width="12.7142857142857" style="2"/>
    <col min="14" max="14" width="9" style="2"/>
    <col min="15" max="15" width="9" style="1"/>
    <col min="16" max="16" width="9" style="6"/>
    <col min="17" max="17" width="13.5714285714286" style="6"/>
    <col min="18" max="16384" width="9" style="2"/>
  </cols>
  <sheetData>
    <row r="2" ht="24" customHeight="1" spans="1:16">
      <c r="A2" s="101" t="s">
        <v>70</v>
      </c>
      <c r="B2" s="93" t="s">
        <v>42</v>
      </c>
      <c r="C2" s="93" t="s">
        <v>2</v>
      </c>
      <c r="D2" s="93" t="s">
        <v>72</v>
      </c>
      <c r="E2" s="93" t="s">
        <v>73</v>
      </c>
      <c r="F2" s="28" t="s">
        <v>791</v>
      </c>
      <c r="G2" s="102" t="s">
        <v>100</v>
      </c>
      <c r="H2" s="33" t="s">
        <v>782</v>
      </c>
      <c r="I2" s="103" t="s">
        <v>783</v>
      </c>
      <c r="J2" s="104" t="s">
        <v>784</v>
      </c>
      <c r="K2" s="104" t="s">
        <v>785</v>
      </c>
      <c r="L2" s="104" t="s">
        <v>792</v>
      </c>
      <c r="M2" s="5" t="s">
        <v>77</v>
      </c>
      <c r="N2" s="105" t="s">
        <v>793</v>
      </c>
      <c r="O2" s="1" t="s">
        <v>581</v>
      </c>
    </row>
    <row r="3" spans="1:16">
      <c r="A3" s="101">
        <v>1</v>
      </c>
      <c r="B3" s="106"/>
      <c r="C3" s="107"/>
      <c r="D3" s="93"/>
      <c r="E3" s="93"/>
      <c r="F3" s="28"/>
      <c r="G3" s="102"/>
      <c r="H3" s="33"/>
      <c r="I3" s="54" t="e">
        <f>VLOOKUP(D3,考勤!C:F,2,0)</f>
        <v>#N/A</v>
      </c>
      <c r="J3" s="108" t="e">
        <f t="shared" ref="J3:J15" si="0">IF(E3=I3,1)</f>
        <v>#N/A</v>
      </c>
      <c r="K3" s="108">
        <f t="shared" ref="K3:K15" si="1">COUNTIF(D:D,D3)</f>
        <v>0</v>
      </c>
      <c r="L3" s="108" t="b">
        <f>VLOOKUP(D3,工资表明细!$C$2:$D$116,2,0)=E3</f>
        <v>1</v>
      </c>
      <c r="M3" s="31">
        <f>VLOOKUP(D3,工资表明细!$C$2:$I$116,7,0)</f>
        <v>0</v>
      </c>
      <c r="O3" s="1">
        <f t="shared" ref="O3:O15" si="2">COUNTIF(D:D,D3)</f>
        <v>0</v>
      </c>
      <c r="P3" s="6" t="e">
        <f>VLOOKUP(D3,#REF!,2,0)</f>
        <v>#REF!</v>
      </c>
    </row>
    <row r="4" spans="1:16">
      <c r="A4" s="101">
        <v>2</v>
      </c>
      <c r="B4" s="106"/>
      <c r="C4" s="107"/>
      <c r="D4" s="93"/>
      <c r="E4" s="93"/>
      <c r="F4" s="28"/>
      <c r="G4" s="102"/>
      <c r="H4" s="33"/>
      <c r="I4" s="54" t="e">
        <f>VLOOKUP(D4,考勤!C:F,2,0)</f>
        <v>#N/A</v>
      </c>
      <c r="J4" s="108" t="e">
        <f t="shared" si="0"/>
        <v>#N/A</v>
      </c>
      <c r="K4" s="108">
        <f t="shared" si="1"/>
        <v>0</v>
      </c>
      <c r="L4" s="108" t="b">
        <f>VLOOKUP(D4,工资表明细!$C$2:$D$116,2,0)=E4</f>
        <v>1</v>
      </c>
      <c r="M4" s="31">
        <f>VLOOKUP(D4,工资表明细!$C$2:$I$116,7,0)</f>
        <v>0</v>
      </c>
      <c r="O4" s="1">
        <f t="shared" si="2"/>
        <v>0</v>
      </c>
      <c r="P4" s="6" t="e">
        <f>VLOOKUP(D4,#REF!,2,0)</f>
        <v>#REF!</v>
      </c>
    </row>
    <row r="5" spans="1:16">
      <c r="A5" s="101">
        <v>3</v>
      </c>
      <c r="B5" s="106"/>
      <c r="C5" s="107"/>
      <c r="D5" s="93"/>
      <c r="E5" s="93"/>
      <c r="F5" s="28"/>
      <c r="G5" s="102"/>
      <c r="H5" s="33"/>
      <c r="I5" s="54" t="e">
        <f>VLOOKUP(D5,考勤!C:F,2,0)</f>
        <v>#N/A</v>
      </c>
      <c r="J5" s="108" t="e">
        <f t="shared" si="0"/>
        <v>#N/A</v>
      </c>
      <c r="K5" s="108">
        <f t="shared" si="1"/>
        <v>0</v>
      </c>
      <c r="L5" s="108" t="b">
        <f>VLOOKUP(D5,工资表明细!$C$2:$D$116,2,0)=E5</f>
        <v>1</v>
      </c>
      <c r="M5" s="31">
        <f>VLOOKUP(D5,工资表明细!$C$2:$I$116,7,0)</f>
        <v>0</v>
      </c>
      <c r="O5" s="1">
        <f t="shared" si="2"/>
        <v>0</v>
      </c>
      <c r="P5" s="6" t="e">
        <f>VLOOKUP(D5,#REF!,2,0)</f>
        <v>#REF!</v>
      </c>
    </row>
    <row r="6" spans="1:16">
      <c r="A6" s="101">
        <v>4</v>
      </c>
      <c r="B6" s="106"/>
      <c r="C6" s="107"/>
      <c r="D6" s="93"/>
      <c r="E6" s="93"/>
      <c r="F6" s="28"/>
      <c r="G6" s="102"/>
      <c r="H6" s="33"/>
      <c r="I6" s="54" t="e">
        <f>VLOOKUP(D6,考勤!C:F,2,0)</f>
        <v>#N/A</v>
      </c>
      <c r="J6" s="108" t="e">
        <f t="shared" si="0"/>
        <v>#N/A</v>
      </c>
      <c r="K6" s="108">
        <f t="shared" si="1"/>
        <v>0</v>
      </c>
      <c r="L6" s="108" t="b">
        <f>VLOOKUP(D6,工资表明细!$C$2:$D$116,2,0)=E6</f>
        <v>1</v>
      </c>
      <c r="M6" s="31">
        <f>VLOOKUP(D6,工资表明细!$C$2:$I$116,7,0)</f>
        <v>0</v>
      </c>
      <c r="O6" s="1">
        <f t="shared" si="2"/>
        <v>0</v>
      </c>
      <c r="P6" s="6" t="e">
        <f>VLOOKUP(D6,#REF!,2,0)</f>
        <v>#REF!</v>
      </c>
    </row>
    <row r="7" spans="1:16">
      <c r="A7" s="101">
        <v>5</v>
      </c>
      <c r="B7" s="106"/>
      <c r="C7" s="107"/>
      <c r="D7" s="93"/>
      <c r="E7" s="93"/>
      <c r="F7" s="28"/>
      <c r="G7" s="102"/>
      <c r="H7" s="33"/>
      <c r="I7" s="54" t="e">
        <f>VLOOKUP(D7,考勤!C:F,2,0)</f>
        <v>#N/A</v>
      </c>
      <c r="J7" s="108" t="e">
        <f t="shared" si="0"/>
        <v>#N/A</v>
      </c>
      <c r="K7" s="108">
        <f t="shared" si="1"/>
        <v>0</v>
      </c>
      <c r="L7" s="108" t="b">
        <f>VLOOKUP(D7,工资表明细!$C$2:$D$116,2,0)=E7</f>
        <v>1</v>
      </c>
      <c r="M7" s="31">
        <f>VLOOKUP(D7,工资表明细!$C$2:$I$116,7,0)</f>
        <v>0</v>
      </c>
      <c r="O7" s="1">
        <f t="shared" si="2"/>
        <v>0</v>
      </c>
      <c r="P7" s="6" t="e">
        <f>VLOOKUP(D7,#REF!,2,0)</f>
        <v>#REF!</v>
      </c>
    </row>
    <row r="8" spans="1:16">
      <c r="A8" s="101">
        <v>6</v>
      </c>
      <c r="B8" s="106"/>
      <c r="C8" s="107"/>
      <c r="D8" s="93"/>
      <c r="E8" s="93"/>
      <c r="F8" s="28"/>
      <c r="G8" s="102"/>
      <c r="H8" s="33"/>
      <c r="I8" s="54" t="e">
        <f>VLOOKUP(D8,考勤!C:F,2,0)</f>
        <v>#N/A</v>
      </c>
      <c r="J8" s="108" t="e">
        <f t="shared" si="0"/>
        <v>#N/A</v>
      </c>
      <c r="K8" s="108">
        <f t="shared" si="1"/>
        <v>0</v>
      </c>
      <c r="L8" s="108" t="b">
        <f>VLOOKUP(D8,工资表明细!$C$2:$D$116,2,0)=E8</f>
        <v>1</v>
      </c>
      <c r="M8" s="31">
        <f>VLOOKUP(D8,工资表明细!$C$2:$I$116,7,0)</f>
        <v>0</v>
      </c>
      <c r="O8" s="1">
        <f t="shared" si="2"/>
        <v>0</v>
      </c>
      <c r="P8" s="6" t="e">
        <f>VLOOKUP(D8,#REF!,2,0)</f>
        <v>#REF!</v>
      </c>
    </row>
    <row r="9" spans="1:16">
      <c r="A9" s="101">
        <v>7</v>
      </c>
      <c r="B9" s="106"/>
      <c r="C9" s="107"/>
      <c r="D9" s="93"/>
      <c r="E9" s="93"/>
      <c r="F9" s="28"/>
      <c r="G9" s="102"/>
      <c r="H9" s="33"/>
      <c r="I9" s="54" t="e">
        <f>VLOOKUP(D9,考勤!C:F,2,0)</f>
        <v>#N/A</v>
      </c>
      <c r="J9" s="108" t="e">
        <f t="shared" si="0"/>
        <v>#N/A</v>
      </c>
      <c r="K9" s="108">
        <f t="shared" si="1"/>
        <v>0</v>
      </c>
      <c r="L9" s="108" t="b">
        <f>VLOOKUP(D9,工资表明细!$C$2:$D$116,2,0)=E9</f>
        <v>1</v>
      </c>
      <c r="M9" s="31">
        <f>VLOOKUP(D9,工资表明细!$C$2:$I$116,7,0)</f>
        <v>0</v>
      </c>
      <c r="O9" s="1">
        <f t="shared" si="2"/>
        <v>0</v>
      </c>
      <c r="P9" s="6" t="e">
        <f>VLOOKUP(D9,#REF!,2,0)</f>
        <v>#REF!</v>
      </c>
    </row>
    <row r="10" spans="1:16">
      <c r="A10" s="101">
        <v>8</v>
      </c>
      <c r="B10" s="106"/>
      <c r="C10" s="107"/>
      <c r="D10" s="93"/>
      <c r="E10" s="93"/>
      <c r="F10" s="28"/>
      <c r="G10" s="102"/>
      <c r="H10" s="33"/>
      <c r="I10" s="54" t="e">
        <f>VLOOKUP(D10,考勤!C:F,2,0)</f>
        <v>#N/A</v>
      </c>
      <c r="J10" s="108" t="e">
        <f t="shared" si="0"/>
        <v>#N/A</v>
      </c>
      <c r="K10" s="108">
        <f t="shared" si="1"/>
        <v>0</v>
      </c>
      <c r="L10" s="108" t="b">
        <f>VLOOKUP(D10,工资表明细!$C$2:$D$116,2,0)=E10</f>
        <v>1</v>
      </c>
      <c r="M10" s="31">
        <f>VLOOKUP(D10,工资表明细!$C$2:$I$116,7,0)</f>
        <v>0</v>
      </c>
      <c r="O10" s="1">
        <f t="shared" si="2"/>
        <v>0</v>
      </c>
      <c r="P10" s="6" t="e">
        <f>VLOOKUP(D10,#REF!,2,0)</f>
        <v>#REF!</v>
      </c>
    </row>
    <row r="11" spans="1:16">
      <c r="A11" s="101">
        <v>9</v>
      </c>
      <c r="B11" s="106"/>
      <c r="C11" s="107"/>
      <c r="D11" s="93"/>
      <c r="E11" s="93"/>
      <c r="F11" s="28"/>
      <c r="G11" s="102"/>
      <c r="H11" s="33"/>
      <c r="I11" s="54" t="e">
        <f>VLOOKUP(D11,考勤!C:F,2,0)</f>
        <v>#N/A</v>
      </c>
      <c r="J11" s="108" t="e">
        <f t="shared" si="0"/>
        <v>#N/A</v>
      </c>
      <c r="K11" s="108">
        <f t="shared" si="1"/>
        <v>0</v>
      </c>
      <c r="L11" s="108" t="b">
        <f>VLOOKUP(D11,工资表明细!$C$2:$D$116,2,0)=E11</f>
        <v>1</v>
      </c>
      <c r="M11" s="31">
        <f>VLOOKUP(D11,工资表明细!$C$2:$I$116,7,0)</f>
        <v>0</v>
      </c>
      <c r="O11" s="1">
        <f t="shared" si="2"/>
        <v>0</v>
      </c>
      <c r="P11" s="6" t="e">
        <f>VLOOKUP(D11,#REF!,2,0)</f>
        <v>#REF!</v>
      </c>
    </row>
    <row r="12" spans="1:16">
      <c r="A12" s="101">
        <v>10</v>
      </c>
      <c r="B12" s="106"/>
      <c r="C12" s="107"/>
      <c r="D12" s="93"/>
      <c r="E12" s="93"/>
      <c r="F12" s="28"/>
      <c r="G12" s="102"/>
      <c r="H12" s="33"/>
      <c r="I12" s="54" t="e">
        <f>VLOOKUP(D12,考勤!C:F,2,0)</f>
        <v>#N/A</v>
      </c>
      <c r="J12" s="108" t="e">
        <f t="shared" si="0"/>
        <v>#N/A</v>
      </c>
      <c r="K12" s="108">
        <f t="shared" si="1"/>
        <v>0</v>
      </c>
      <c r="L12" s="108" t="b">
        <f>VLOOKUP(D12,工资表明细!$C$2:$D$116,2,0)=E12</f>
        <v>1</v>
      </c>
      <c r="M12" s="31">
        <f>VLOOKUP(D12,工资表明细!$C$2:$I$116,7,0)</f>
        <v>0</v>
      </c>
      <c r="O12" s="1">
        <f t="shared" si="2"/>
        <v>0</v>
      </c>
      <c r="P12" s="6" t="e">
        <f>VLOOKUP(D12,#REF!,2,0)</f>
        <v>#REF!</v>
      </c>
    </row>
    <row r="13" spans="1:16">
      <c r="A13" s="101">
        <v>11</v>
      </c>
      <c r="B13" s="106"/>
      <c r="C13" s="107"/>
      <c r="D13" s="93"/>
      <c r="E13" s="93"/>
      <c r="F13" s="28"/>
      <c r="G13" s="102"/>
      <c r="H13" s="33"/>
      <c r="I13" s="54" t="e">
        <f>VLOOKUP(D13,考勤!C:F,2,0)</f>
        <v>#N/A</v>
      </c>
      <c r="J13" s="108" t="e">
        <f t="shared" si="0"/>
        <v>#N/A</v>
      </c>
      <c r="K13" s="108">
        <f t="shared" si="1"/>
        <v>0</v>
      </c>
      <c r="L13" s="108" t="b">
        <f>VLOOKUP(D13,工资表明细!$C$2:$D$116,2,0)=E13</f>
        <v>1</v>
      </c>
      <c r="M13" s="31">
        <f>VLOOKUP(D13,工资表明细!$C$2:$I$116,7,0)</f>
        <v>0</v>
      </c>
      <c r="O13" s="1">
        <f t="shared" si="2"/>
        <v>0</v>
      </c>
      <c r="P13" s="6" t="e">
        <f>VLOOKUP(D13,#REF!,2,0)</f>
        <v>#REF!</v>
      </c>
    </row>
    <row r="14" spans="1:16">
      <c r="A14" s="101">
        <v>12</v>
      </c>
      <c r="B14" s="106"/>
      <c r="C14" s="107"/>
      <c r="D14" s="93"/>
      <c r="E14" s="93"/>
      <c r="F14" s="28"/>
      <c r="G14" s="102"/>
      <c r="H14" s="33"/>
      <c r="I14" s="54" t="e">
        <f>VLOOKUP(D14,考勤!C:F,2,0)</f>
        <v>#N/A</v>
      </c>
      <c r="J14" s="108" t="e">
        <f t="shared" si="0"/>
        <v>#N/A</v>
      </c>
      <c r="K14" s="108">
        <f t="shared" si="1"/>
        <v>0</v>
      </c>
      <c r="L14" s="108" t="b">
        <f>VLOOKUP(D14,工资表明细!$C$2:$D$116,2,0)=E14</f>
        <v>1</v>
      </c>
      <c r="M14" s="31">
        <f>VLOOKUP(D14,工资表明细!$C$2:$I$116,7,0)</f>
        <v>0</v>
      </c>
      <c r="O14" s="1">
        <f t="shared" si="2"/>
        <v>0</v>
      </c>
      <c r="P14" s="6" t="e">
        <f>VLOOKUP(D14,#REF!,2,0)</f>
        <v>#REF!</v>
      </c>
    </row>
    <row r="15" spans="1:16">
      <c r="A15" s="101">
        <v>13</v>
      </c>
      <c r="B15" s="106"/>
      <c r="C15" s="107"/>
      <c r="D15" s="93"/>
      <c r="E15" s="93"/>
      <c r="F15" s="28"/>
      <c r="G15" s="102"/>
      <c r="H15" s="33"/>
      <c r="I15" s="54" t="e">
        <f>VLOOKUP(D15,考勤!C:F,2,0)</f>
        <v>#N/A</v>
      </c>
      <c r="J15" s="108" t="e">
        <f t="shared" si="0"/>
        <v>#N/A</v>
      </c>
      <c r="K15" s="108">
        <f t="shared" si="1"/>
        <v>0</v>
      </c>
      <c r="L15" s="108" t="b">
        <f>VLOOKUP(D15,工资表明细!$C$2:$D$116,2,0)=E15</f>
        <v>1</v>
      </c>
      <c r="M15" s="31">
        <f>VLOOKUP(D15,工资表明细!$C$2:$I$116,7,0)</f>
        <v>0</v>
      </c>
      <c r="O15" s="1">
        <f t="shared" si="2"/>
        <v>0</v>
      </c>
      <c r="P15" s="6" t="e">
        <f>VLOOKUP(D15,#REF!,2,0)</f>
        <v>#REF!</v>
      </c>
    </row>
    <row r="16" spans="1:16">
      <c r="A16" s="33"/>
      <c r="B16" s="99"/>
      <c r="C16" s="109"/>
      <c r="D16" s="3"/>
      <c r="E16" s="109"/>
      <c r="F16" s="36"/>
      <c r="G16" s="58"/>
      <c r="H16" s="33"/>
      <c r="I16" s="58"/>
      <c r="J16" s="36"/>
      <c r="K16" s="36"/>
      <c r="L16" s="36"/>
      <c r="M16" s="58"/>
      <c r="N16" s="58"/>
    </row>
    <row r="17" spans="1:17">
      <c r="B17" s="3"/>
      <c r="C17" s="3"/>
      <c r="D17" s="3"/>
      <c r="E17" s="3" t="s">
        <v>48</v>
      </c>
      <c r="F17" s="36">
        <f>SUM(F3:F16)</f>
        <v>0</v>
      </c>
      <c r="G17" s="3"/>
      <c r="I17" s="3"/>
      <c r="J17" s="3"/>
      <c r="K17" s="3"/>
      <c r="L17" s="3"/>
      <c r="M17" s="3"/>
      <c r="N17" s="3"/>
    </row>
    <row r="18" spans="1:17">
      <c r="C18" s="3"/>
      <c r="D18" s="3"/>
      <c r="E18" s="3" t="s">
        <v>783</v>
      </c>
      <c r="F18" s="29">
        <f>F17-工资表明细!X83</f>
        <v>0</v>
      </c>
      <c r="G18" s="3"/>
      <c r="I18" s="3"/>
      <c r="J18" s="3"/>
      <c r="K18" s="3"/>
      <c r="L18" s="3"/>
      <c r="M18" s="3"/>
      <c r="N18" s="3"/>
    </row>
    <row r="19" spans="1:17">
      <c r="B19" s="3"/>
      <c r="C19" s="3"/>
      <c r="D19" s="3"/>
      <c r="E19" s="3"/>
      <c r="F19" s="36"/>
      <c r="G19" s="3"/>
      <c r="I19" s="3"/>
      <c r="J19" s="3"/>
      <c r="K19" s="3"/>
      <c r="L19" s="3"/>
      <c r="M19" s="3"/>
      <c r="N19" s="3"/>
    </row>
    <row r="20" spans="1:17">
      <c r="B20" s="3"/>
      <c r="C20" s="3"/>
      <c r="D20" s="3"/>
      <c r="E20" s="3"/>
      <c r="F20" s="36"/>
      <c r="G20" s="3"/>
      <c r="I20" s="3"/>
      <c r="J20" s="3"/>
      <c r="K20" s="3"/>
      <c r="L20" s="3"/>
      <c r="M20" s="3"/>
      <c r="N20" s="3"/>
    </row>
    <row r="21" spans="1:17">
      <c r="B21" s="3"/>
      <c r="C21" s="3"/>
      <c r="D21" s="3"/>
      <c r="E21" s="3"/>
      <c r="G21" s="3"/>
      <c r="I21" s="3"/>
      <c r="J21" s="3"/>
      <c r="K21" s="3"/>
      <c r="L21" s="3"/>
      <c r="M21" s="3"/>
      <c r="N21" s="3"/>
    </row>
    <row r="22" s="3" customFormat="1" spans="1:17">
      <c r="A22" s="1"/>
      <c r="H22" s="1"/>
      <c r="O22" s="1"/>
      <c r="P22" s="6"/>
      <c r="Q22" s="6"/>
    </row>
    <row r="41" spans="6:6">
      <c r="F41" s="4"/>
    </row>
    <row r="42" spans="6:6">
      <c r="F42" s="4"/>
    </row>
    <row r="43" spans="6:6">
      <c r="F43" s="4"/>
    </row>
  </sheetData>
  <autoFilter xmlns:etc="http://www.wps.cn/officeDocument/2017/etCustomData" ref="A2:Q1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L15"/>
  <sheetViews>
    <sheetView showGridLines="0" workbookViewId="0">
      <pane xSplit="3" ySplit="1" topLeftCell="D2" activePane="bottomRight" state="frozen"/>
      <selection/>
      <selection pane="topRight"/>
      <selection pane="bottomLeft"/>
      <selection pane="bottomRight" activeCell="H17" sqref="H17"/>
    </sheetView>
  </sheetViews>
  <sheetFormatPr defaultColWidth="9" defaultRowHeight="16.5"/>
  <cols>
    <col min="1" max="1" width="12.5714285714286" style="1" customWidth="1"/>
    <col min="2" max="2" width="13.5714285714286" style="2" customWidth="1"/>
    <col min="3" max="3" width="15.8571428571429" style="2" customWidth="1"/>
    <col min="4" max="4" width="13.5714285714286" style="2" customWidth="1"/>
    <col min="5" max="5" width="12.2857142857143" style="1" customWidth="1"/>
    <col min="6" max="6" width="35.4285714285714" style="2" customWidth="1"/>
    <col min="7" max="7" width="12.2857142857143" style="2" customWidth="1"/>
    <col min="8" max="11" width="9" style="1"/>
    <col min="12" max="12" width="11.5714285714286" style="1" customWidth="1"/>
    <col min="13" max="13" width="12.7142857142857" style="2" customWidth="1"/>
    <col min="14" max="16384" width="9" style="2"/>
  </cols>
  <sheetData>
    <row r="1" s="18" customFormat="1" ht="33" spans="1:12">
      <c r="A1" s="85" t="s">
        <v>72</v>
      </c>
      <c r="B1" s="86" t="s">
        <v>73</v>
      </c>
      <c r="C1" s="87" t="s">
        <v>794</v>
      </c>
      <c r="D1" s="87" t="s">
        <v>795</v>
      </c>
      <c r="E1" s="88" t="s">
        <v>782</v>
      </c>
      <c r="F1" s="89" t="s">
        <v>100</v>
      </c>
      <c r="G1" s="90" t="s">
        <v>796</v>
      </c>
      <c r="H1" s="88" t="s">
        <v>797</v>
      </c>
      <c r="I1" s="88" t="s">
        <v>798</v>
      </c>
      <c r="J1" s="88" t="s">
        <v>789</v>
      </c>
      <c r="K1" s="88" t="s">
        <v>799</v>
      </c>
      <c r="L1" s="91" t="s">
        <v>77</v>
      </c>
    </row>
    <row r="2" spans="1:12">
      <c r="A2" s="92"/>
      <c r="B2" s="93"/>
      <c r="C2" s="94"/>
      <c r="D2" s="94"/>
      <c r="E2" s="78"/>
      <c r="F2" s="95"/>
      <c r="G2" s="77" t="e">
        <f>VLOOKUP(A2,考勤!C:F,2,0)</f>
        <v>#N/A</v>
      </c>
      <c r="H2" s="78" t="e">
        <f t="shared" ref="H2:H9" si="0">IF(B2=G2,1)</f>
        <v>#N/A</v>
      </c>
      <c r="I2" s="78">
        <f t="shared" ref="I2:I9" si="1">COUNTIF(A:A,A2)</f>
        <v>0</v>
      </c>
      <c r="J2" s="78">
        <f>VLOOKUP(A2,工资表明细!$C$2:$D$116,2,0)</f>
        <v>0</v>
      </c>
      <c r="K2" s="78" t="b">
        <f t="shared" ref="K2:K9" si="2">J2=B2</f>
        <v>1</v>
      </c>
      <c r="L2" s="78">
        <f>VLOOKUP(A2,工资表明细!$C$2:$I$116,7,0)</f>
        <v>0</v>
      </c>
    </row>
    <row r="3" spans="1:12">
      <c r="A3" s="92"/>
      <c r="B3" s="93"/>
      <c r="C3" s="94"/>
      <c r="D3" s="94"/>
      <c r="E3" s="78"/>
      <c r="F3" s="95"/>
      <c r="G3" s="77" t="e">
        <f>VLOOKUP(A3,考勤!C:F,2,0)</f>
        <v>#N/A</v>
      </c>
      <c r="H3" s="78" t="e">
        <f t="shared" si="0"/>
        <v>#N/A</v>
      </c>
      <c r="I3" s="78">
        <f t="shared" si="1"/>
        <v>0</v>
      </c>
      <c r="J3" s="78">
        <f>VLOOKUP(A3,工资表明细!$C$2:$D$116,2,0)</f>
        <v>0</v>
      </c>
      <c r="K3" s="78" t="b">
        <f t="shared" si="2"/>
        <v>1</v>
      </c>
      <c r="L3" s="78">
        <f>VLOOKUP(A3,工资表明细!$C$2:$I$116,7,0)</f>
        <v>0</v>
      </c>
    </row>
    <row r="4" spans="1:12">
      <c r="A4" s="92"/>
      <c r="B4" s="93"/>
      <c r="C4" s="94"/>
      <c r="D4" s="94"/>
      <c r="E4" s="78"/>
      <c r="F4" s="95"/>
      <c r="G4" s="77" t="e">
        <f>VLOOKUP(A4,考勤!C:F,2,0)</f>
        <v>#N/A</v>
      </c>
      <c r="H4" s="78" t="e">
        <f t="shared" si="0"/>
        <v>#N/A</v>
      </c>
      <c r="I4" s="78">
        <f t="shared" si="1"/>
        <v>0</v>
      </c>
      <c r="J4" s="78">
        <f>VLOOKUP(A4,工资表明细!$C$2:$D$116,2,0)</f>
        <v>0</v>
      </c>
      <c r="K4" s="78" t="b">
        <f t="shared" si="2"/>
        <v>1</v>
      </c>
      <c r="L4" s="78">
        <f>VLOOKUP(A4,工资表明细!$C$2:$I$116,7,0)</f>
        <v>0</v>
      </c>
    </row>
    <row r="5" spans="1:12">
      <c r="A5" s="92"/>
      <c r="B5" s="93"/>
      <c r="C5" s="94"/>
      <c r="D5" s="94"/>
      <c r="E5" s="78"/>
      <c r="F5" s="95"/>
      <c r="G5" s="77" t="e">
        <f>VLOOKUP(A5,考勤!C:F,2,0)</f>
        <v>#N/A</v>
      </c>
      <c r="H5" s="78" t="e">
        <f t="shared" si="0"/>
        <v>#N/A</v>
      </c>
      <c r="I5" s="78">
        <f t="shared" si="1"/>
        <v>0</v>
      </c>
      <c r="J5" s="78">
        <f>VLOOKUP(A5,工资表明细!$C$2:$D$116,2,0)</f>
        <v>0</v>
      </c>
      <c r="K5" s="78" t="b">
        <f t="shared" si="2"/>
        <v>1</v>
      </c>
      <c r="L5" s="78">
        <f>VLOOKUP(A5,工资表明细!$C$2:$I$116,7,0)</f>
        <v>0</v>
      </c>
    </row>
    <row r="6" spans="1:12">
      <c r="A6" s="92"/>
      <c r="B6" s="93"/>
      <c r="C6" s="94"/>
      <c r="D6" s="94"/>
      <c r="E6" s="78"/>
      <c r="F6" s="95"/>
      <c r="G6" s="77" t="e">
        <f>VLOOKUP(A6,考勤!C:F,2,0)</f>
        <v>#N/A</v>
      </c>
      <c r="H6" s="78" t="e">
        <f t="shared" si="0"/>
        <v>#N/A</v>
      </c>
      <c r="I6" s="78">
        <f t="shared" si="1"/>
        <v>0</v>
      </c>
      <c r="J6" s="78">
        <f>VLOOKUP(A6,工资表明细!$C$2:$D$116,2,0)</f>
        <v>0</v>
      </c>
      <c r="K6" s="78" t="b">
        <f t="shared" si="2"/>
        <v>1</v>
      </c>
      <c r="L6" s="78">
        <f>VLOOKUP(A6,工资表明细!$C$2:$I$116,7,0)</f>
        <v>0</v>
      </c>
    </row>
    <row r="7" spans="1:12">
      <c r="A7" s="92"/>
      <c r="B7" s="93"/>
      <c r="C7" s="94"/>
      <c r="D7" s="94"/>
      <c r="E7" s="78"/>
      <c r="F7" s="95"/>
      <c r="G7" s="77" t="e">
        <f>VLOOKUP(A7,考勤!C:F,2,0)</f>
        <v>#N/A</v>
      </c>
      <c r="H7" s="78" t="e">
        <f t="shared" si="0"/>
        <v>#N/A</v>
      </c>
      <c r="I7" s="78">
        <f t="shared" si="1"/>
        <v>0</v>
      </c>
      <c r="J7" s="78">
        <f>VLOOKUP(A7,工资表明细!$C$2:$D$116,2,0)</f>
        <v>0</v>
      </c>
      <c r="K7" s="78" t="b">
        <f t="shared" si="2"/>
        <v>1</v>
      </c>
      <c r="L7" s="78">
        <f>VLOOKUP(A7,工资表明细!$C$2:$I$116,7,0)</f>
        <v>0</v>
      </c>
    </row>
    <row r="8" spans="1:12">
      <c r="A8" s="92"/>
      <c r="B8" s="93"/>
      <c r="C8" s="94"/>
      <c r="D8" s="94"/>
      <c r="E8" s="78"/>
      <c r="F8" s="95"/>
      <c r="G8" s="77" t="e">
        <f>VLOOKUP(A8,考勤!C:F,2,0)</f>
        <v>#N/A</v>
      </c>
      <c r="H8" s="78" t="e">
        <f t="shared" si="0"/>
        <v>#N/A</v>
      </c>
      <c r="I8" s="78">
        <f t="shared" si="1"/>
        <v>0</v>
      </c>
      <c r="J8" s="78">
        <f>VLOOKUP(A8,工资表明细!$C$2:$D$116,2,0)</f>
        <v>0</v>
      </c>
      <c r="K8" s="78" t="b">
        <f t="shared" si="2"/>
        <v>1</v>
      </c>
      <c r="L8" s="78">
        <f>VLOOKUP(A8,工资表明细!$C$2:$I$116,7,0)</f>
        <v>0</v>
      </c>
    </row>
    <row r="9" spans="1:12">
      <c r="A9" s="92"/>
      <c r="B9" s="93"/>
      <c r="C9" s="94"/>
      <c r="D9" s="94"/>
      <c r="E9" s="78"/>
      <c r="F9" s="95"/>
      <c r="G9" s="77" t="e">
        <f>VLOOKUP(A9,考勤!C:F,2,0)</f>
        <v>#N/A</v>
      </c>
      <c r="H9" s="78" t="e">
        <f t="shared" si="0"/>
        <v>#N/A</v>
      </c>
      <c r="I9" s="78">
        <f t="shared" si="1"/>
        <v>0</v>
      </c>
      <c r="J9" s="78">
        <f>VLOOKUP(A9,工资表明细!$C$2:$D$116,2,0)</f>
        <v>0</v>
      </c>
      <c r="K9" s="78" t="b">
        <f t="shared" si="2"/>
        <v>1</v>
      </c>
      <c r="L9" s="78">
        <f>VLOOKUP(A9,工资表明细!$C$2:$I$116,7,0)</f>
        <v>0</v>
      </c>
    </row>
    <row r="10" spans="1:12">
      <c r="A10" s="33"/>
      <c r="B10" s="96"/>
      <c r="C10" s="96"/>
      <c r="D10" s="97"/>
      <c r="E10" s="78"/>
      <c r="F10" s="98"/>
      <c r="G10" s="99"/>
      <c r="H10" s="78"/>
      <c r="I10" s="78"/>
      <c r="J10" s="78"/>
      <c r="K10" s="78"/>
      <c r="L10" s="33"/>
    </row>
    <row r="11" spans="1:12">
      <c r="B11" s="3"/>
      <c r="C11" s="3"/>
      <c r="D11" s="3"/>
      <c r="F11" s="81"/>
      <c r="G11" s="3"/>
    </row>
    <row r="12" spans="1:12">
      <c r="B12" s="3"/>
      <c r="C12" s="3"/>
      <c r="D12" s="3"/>
      <c r="F12" s="3"/>
      <c r="G12" s="3"/>
    </row>
    <row r="13" spans="1:12">
      <c r="B13" s="3" t="s">
        <v>48</v>
      </c>
      <c r="C13" s="13">
        <f>SUM(C2:C12)</f>
        <v>0</v>
      </c>
      <c r="D13" s="13">
        <f>SUM(D2:D12)</f>
        <v>0</v>
      </c>
      <c r="F13" s="3"/>
      <c r="G13" s="3"/>
    </row>
    <row r="14" spans="1:12">
      <c r="A14" s="100"/>
      <c r="B14" s="3" t="s">
        <v>783</v>
      </c>
      <c r="C14" s="13">
        <f>C13-工资表明细!AH83</f>
        <v>0</v>
      </c>
      <c r="D14" s="13">
        <f>D13-工资表明细!AI83</f>
        <v>0</v>
      </c>
      <c r="F14" s="3"/>
      <c r="G14" s="3"/>
    </row>
    <row r="15" spans="1:12">
      <c r="B15" s="3"/>
      <c r="C15" s="13"/>
      <c r="D15" s="13"/>
      <c r="F15" s="3"/>
      <c r="G15" s="3"/>
    </row>
  </sheetData>
  <autoFilter xmlns:etc="http://www.wps.cn/officeDocument/2017/etCustomData" ref="A1:L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11">
    <tabColor rgb="FF92D050"/>
  </sheetPr>
  <dimension ref="A1:S91"/>
  <sheetViews>
    <sheetView showGridLines="0" zoomScale="80" zoomScaleNormal="80" workbookViewId="0">
      <pane xSplit="4" ySplit="1" topLeftCell="E2" activePane="bottomRight" state="frozen"/>
      <selection/>
      <selection pane="topRight"/>
      <selection pane="bottomLeft"/>
      <selection pane="bottomRight" activeCell="E68" sqref="E68"/>
    </sheetView>
  </sheetViews>
  <sheetFormatPr defaultColWidth="9" defaultRowHeight="14.25"/>
  <cols>
    <col min="1" max="1" width="7.14285714285714" style="61" customWidth="1"/>
    <col min="2" max="2" width="13.4285714285714" style="62" customWidth="1"/>
    <col min="3" max="3" width="15.1428571428571" style="62" customWidth="1"/>
    <col min="4" max="5" width="18.2857142857143" style="63" customWidth="1"/>
    <col min="6" max="6" width="12.7142857142857" style="61" customWidth="1"/>
    <col min="7" max="7" width="47.2857142857143" style="64" customWidth="1"/>
    <col min="8" max="8" width="20.2857142857143" style="62" customWidth="1"/>
    <col min="9" max="9" width="12.2857142857143" style="62" customWidth="1"/>
    <col min="10" max="11" width="9" style="61"/>
    <col min="12" max="12" width="14.4285714285714" style="62"/>
    <col min="13" max="13" width="12.1428571428571" style="62" customWidth="1"/>
    <col min="14" max="14" width="10.2857142857143" style="65" customWidth="1"/>
    <col min="15" max="17" width="10.2857142857143" style="66" customWidth="1"/>
    <col min="18" max="18" width="16.5714285714286" style="67" customWidth="1"/>
    <col min="19" max="20" width="10.4285714285714" style="63" customWidth="1"/>
    <col min="21" max="16384" width="9" style="62"/>
  </cols>
  <sheetData>
    <row r="1" ht="20.1" customHeight="1" spans="1:19">
      <c r="A1" s="68" t="s">
        <v>70</v>
      </c>
      <c r="B1" s="69" t="s">
        <v>72</v>
      </c>
      <c r="C1" s="70" t="s">
        <v>73</v>
      </c>
      <c r="D1" s="71" t="s">
        <v>56</v>
      </c>
      <c r="E1" s="71" t="s">
        <v>21</v>
      </c>
      <c r="F1" s="72"/>
      <c r="G1" s="73" t="s">
        <v>100</v>
      </c>
      <c r="H1" s="73" t="s">
        <v>501</v>
      </c>
      <c r="I1" s="73" t="s">
        <v>800</v>
      </c>
      <c r="J1" s="74" t="s">
        <v>797</v>
      </c>
      <c r="K1" s="74" t="s">
        <v>798</v>
      </c>
      <c r="L1" s="73" t="s">
        <v>789</v>
      </c>
      <c r="M1" s="31" t="s">
        <v>77</v>
      </c>
      <c r="N1" s="66"/>
      <c r="R1" s="6"/>
      <c r="S1" s="3"/>
    </row>
    <row r="2" ht="16.5" spans="1:19">
      <c r="A2" s="26">
        <v>1</v>
      </c>
      <c r="B2" s="27" t="s">
        <v>316</v>
      </c>
      <c r="C2" s="27" t="s">
        <v>317</v>
      </c>
      <c r="D2" s="75">
        <v>200</v>
      </c>
      <c r="E2" s="28"/>
      <c r="F2" s="57">
        <v>1</v>
      </c>
      <c r="G2" s="76" t="s">
        <v>790</v>
      </c>
      <c r="H2" s="77" t="str">
        <f>VLOOKUP(B2,考勤!C:E,3,0)</f>
        <v>创想悦动</v>
      </c>
      <c r="I2" s="77" t="str">
        <f>VLOOKUP(B2,考勤!C:F,2,0)</f>
        <v>吴润泽</v>
      </c>
      <c r="J2" s="78">
        <f t="shared" ref="J2:J55" si="0">IF(I2=C2,1)</f>
        <v>1</v>
      </c>
      <c r="K2" s="78">
        <f t="shared" ref="K2:K55" si="1">COUNTIF(B:B,B2)</f>
        <v>2</v>
      </c>
      <c r="L2" s="34" t="b">
        <f>VLOOKUP(B2,工资表明细!$C$2:$D$352,2,0)=C2</f>
        <v>1</v>
      </c>
      <c r="M2" s="31">
        <f>VLOOKUP(B2,工资表明细!$C$2:$I$352,7,0)</f>
        <v>0</v>
      </c>
      <c r="N2" s="66"/>
      <c r="R2" s="6"/>
      <c r="S2" s="3"/>
    </row>
    <row r="3" ht="16.5" spans="1:19">
      <c r="A3" s="26">
        <v>2</v>
      </c>
      <c r="B3" s="27" t="s">
        <v>364</v>
      </c>
      <c r="C3" s="27" t="s">
        <v>365</v>
      </c>
      <c r="D3" s="75">
        <v>200</v>
      </c>
      <c r="E3" s="28"/>
      <c r="F3" s="57">
        <v>1</v>
      </c>
      <c r="G3" s="76" t="s">
        <v>790</v>
      </c>
      <c r="H3" s="77" t="str">
        <f>VLOOKUP(B3,考勤!C:E,3,0)</f>
        <v>创想悦动</v>
      </c>
      <c r="I3" s="77" t="str">
        <f>VLOOKUP(B3,考勤!C:F,2,0)</f>
        <v>陈碧云</v>
      </c>
      <c r="J3" s="78">
        <f t="shared" si="0"/>
        <v>1</v>
      </c>
      <c r="K3" s="78">
        <f t="shared" si="1"/>
        <v>2</v>
      </c>
      <c r="L3" s="34" t="b">
        <f>VLOOKUP(B3,工资表明细!$C$2:$D$352,2,0)=C3</f>
        <v>1</v>
      </c>
      <c r="M3" s="31">
        <f>VLOOKUP(B3,工资表明细!$C$2:$I$352,7,0)</f>
        <v>0</v>
      </c>
      <c r="N3" s="66"/>
      <c r="R3" s="6"/>
      <c r="S3" s="3"/>
    </row>
    <row r="4" ht="16.5" spans="1:19">
      <c r="A4" s="26">
        <v>3</v>
      </c>
      <c r="B4" s="28" t="s">
        <v>369</v>
      </c>
      <c r="C4" s="28" t="s">
        <v>370</v>
      </c>
      <c r="D4" s="75">
        <v>200</v>
      </c>
      <c r="E4" s="28"/>
      <c r="F4" s="57">
        <v>1</v>
      </c>
      <c r="G4" s="76" t="s">
        <v>790</v>
      </c>
      <c r="H4" s="77" t="str">
        <f>VLOOKUP(B4,考勤!C:E,3,0)</f>
        <v>创想悦动</v>
      </c>
      <c r="I4" s="77" t="str">
        <f>VLOOKUP(B4,考勤!C:F,2,0)</f>
        <v>陈志鹏</v>
      </c>
      <c r="J4" s="78">
        <f t="shared" si="0"/>
        <v>1</v>
      </c>
      <c r="K4" s="78">
        <f t="shared" si="1"/>
        <v>1</v>
      </c>
      <c r="L4" s="34" t="b">
        <f>VLOOKUP(B4,工资表明细!$C$2:$D$352,2,0)=C4</f>
        <v>1</v>
      </c>
      <c r="M4" s="31">
        <f>VLOOKUP(B4,工资表明细!$C$2:$I$352,7,0)</f>
        <v>0</v>
      </c>
      <c r="N4" s="79"/>
      <c r="R4" s="6"/>
      <c r="S4" s="3"/>
    </row>
    <row r="5" ht="16.5" spans="1:19">
      <c r="A5" s="26">
        <v>4</v>
      </c>
      <c r="B5" s="28" t="s">
        <v>464</v>
      </c>
      <c r="C5" s="28" t="s">
        <v>465</v>
      </c>
      <c r="D5" s="75">
        <v>200</v>
      </c>
      <c r="E5" s="28"/>
      <c r="F5" s="57">
        <v>1</v>
      </c>
      <c r="G5" s="76" t="s">
        <v>790</v>
      </c>
      <c r="H5" s="77" t="str">
        <f>VLOOKUP(B5,考勤!C:E,3,0)</f>
        <v>创想悦动</v>
      </c>
      <c r="I5" s="77" t="str">
        <f>VLOOKUP(B5,考勤!C:F,2,0)</f>
        <v>罗凯成</v>
      </c>
      <c r="J5" s="78">
        <f t="shared" si="0"/>
        <v>1</v>
      </c>
      <c r="K5" s="78">
        <f t="shared" si="1"/>
        <v>1</v>
      </c>
      <c r="L5" s="34" t="b">
        <f>VLOOKUP(B5,工资表明细!$C$2:$D$352,2,0)=C5</f>
        <v>1</v>
      </c>
      <c r="M5" s="31">
        <f>VLOOKUP(B5,工资表明细!$C$2:$I$352,7,0)</f>
        <v>0</v>
      </c>
      <c r="N5" s="79"/>
      <c r="R5" s="6"/>
      <c r="S5" s="3"/>
    </row>
    <row r="6" ht="16.5" spans="1:19">
      <c r="A6" s="26">
        <v>1</v>
      </c>
      <c r="B6" s="80" t="s">
        <v>247</v>
      </c>
      <c r="C6" s="80" t="s">
        <v>248</v>
      </c>
      <c r="D6" s="75">
        <v>1859.76</v>
      </c>
      <c r="E6" s="28"/>
      <c r="F6" s="57">
        <v>1</v>
      </c>
      <c r="G6" s="76" t="s">
        <v>801</v>
      </c>
      <c r="H6" s="77" t="str">
        <f>VLOOKUP(B6,考勤!C:E,3,0)</f>
        <v>创想悦动</v>
      </c>
      <c r="I6" s="77" t="str">
        <f>VLOOKUP(B6,考勤!C:F,2,0)</f>
        <v>刘培琳</v>
      </c>
      <c r="J6" s="78">
        <f t="shared" si="0"/>
        <v>1</v>
      </c>
      <c r="K6" s="78">
        <f t="shared" si="1"/>
        <v>2</v>
      </c>
      <c r="L6" s="34" t="b">
        <f>VLOOKUP(B6,工资表明细!$C$2:$D$352,2,0)=C6</f>
        <v>1</v>
      </c>
      <c r="M6" s="31">
        <f>VLOOKUP(B6,工资表明细!$C$2:$I$352,7,0)</f>
        <v>0</v>
      </c>
      <c r="N6" s="79"/>
      <c r="R6" s="6"/>
      <c r="S6" s="3"/>
    </row>
    <row r="7" ht="16.5" spans="1:19">
      <c r="A7" s="26">
        <v>2</v>
      </c>
      <c r="B7" s="80" t="s">
        <v>204</v>
      </c>
      <c r="C7" s="80" t="s">
        <v>205</v>
      </c>
      <c r="D7" s="75">
        <v>4960.25</v>
      </c>
      <c r="E7" s="28"/>
      <c r="F7" s="57">
        <v>1</v>
      </c>
      <c r="G7" s="76" t="s">
        <v>801</v>
      </c>
      <c r="H7" s="77" t="str">
        <f>VLOOKUP(B7,考勤!C:E,3,0)</f>
        <v>创想悦动</v>
      </c>
      <c r="I7" s="77" t="str">
        <f>VLOOKUP(B7,考勤!C:F,2,0)</f>
        <v>邱永恒</v>
      </c>
      <c r="J7" s="78">
        <f t="shared" si="0"/>
        <v>1</v>
      </c>
      <c r="K7" s="78">
        <f t="shared" si="1"/>
        <v>2</v>
      </c>
      <c r="L7" s="34" t="b">
        <f>VLOOKUP(B7,工资表明细!$C$2:$D$352,2,0)=C7</f>
        <v>1</v>
      </c>
      <c r="M7" s="31">
        <f>VLOOKUP(B7,工资表明细!$C$2:$I$352,7,0)</f>
        <v>0</v>
      </c>
      <c r="N7" s="79"/>
      <c r="R7" s="6"/>
      <c r="S7" s="3"/>
    </row>
    <row r="8" ht="16.5" spans="1:19">
      <c r="A8" s="26">
        <v>1</v>
      </c>
      <c r="B8" s="28" t="s">
        <v>102</v>
      </c>
      <c r="C8" s="28" t="s">
        <v>103</v>
      </c>
      <c r="D8" s="75">
        <v>-240</v>
      </c>
      <c r="E8" s="28"/>
      <c r="F8" s="57"/>
      <c r="G8" s="76" t="s">
        <v>802</v>
      </c>
      <c r="H8" s="77" t="str">
        <f>VLOOKUP(B8,考勤!C:E,3,0)</f>
        <v>创想悦动</v>
      </c>
      <c r="I8" s="77" t="str">
        <f>VLOOKUP(B8,考勤!C:F,2,0)</f>
        <v>刘丹</v>
      </c>
      <c r="J8" s="78">
        <f t="shared" si="0"/>
        <v>1</v>
      </c>
      <c r="K8" s="78">
        <f t="shared" si="1"/>
        <v>1</v>
      </c>
      <c r="L8" s="34" t="b">
        <f>VLOOKUP(B8,工资表明细!$C$2:$D$352,2,0)=C8</f>
        <v>1</v>
      </c>
      <c r="M8" s="31">
        <f>VLOOKUP(B8,工资表明细!$C$2:$I$352,7,0)</f>
        <v>0</v>
      </c>
      <c r="N8" s="79"/>
      <c r="R8" s="6"/>
      <c r="S8" s="3"/>
    </row>
    <row r="9" ht="16.5" spans="1:19">
      <c r="A9" s="26">
        <v>2</v>
      </c>
      <c r="B9" s="28" t="s">
        <v>108</v>
      </c>
      <c r="C9" s="28" t="s">
        <v>109</v>
      </c>
      <c r="D9" s="75">
        <v>-240</v>
      </c>
      <c r="E9" s="28"/>
      <c r="F9" s="57"/>
      <c r="G9" s="76" t="s">
        <v>802</v>
      </c>
      <c r="H9" s="77" t="str">
        <f>VLOOKUP(B9,考勤!C:E,3,0)</f>
        <v>创想悦动</v>
      </c>
      <c r="I9" s="77" t="str">
        <f>VLOOKUP(B9,考勤!C:F,2,0)</f>
        <v>李奕佳</v>
      </c>
      <c r="J9" s="78">
        <f t="shared" si="0"/>
        <v>1</v>
      </c>
      <c r="K9" s="78">
        <f t="shared" si="1"/>
        <v>1</v>
      </c>
      <c r="L9" s="34" t="b">
        <f>VLOOKUP(B9,工资表明细!$C$2:$D$352,2,0)=C9</f>
        <v>1</v>
      </c>
      <c r="M9" s="31">
        <f>VLOOKUP(B9,工资表明细!$C$2:$I$352,7,0)</f>
        <v>0</v>
      </c>
      <c r="N9" s="79"/>
      <c r="R9" s="6"/>
      <c r="S9" s="3"/>
    </row>
    <row r="10" ht="16.5" spans="1:19">
      <c r="A10" s="26">
        <v>3</v>
      </c>
      <c r="B10" s="28" t="s">
        <v>113</v>
      </c>
      <c r="C10" s="28" t="s">
        <v>114</v>
      </c>
      <c r="D10" s="75">
        <v>-240</v>
      </c>
      <c r="E10" s="28"/>
      <c r="F10" s="57"/>
      <c r="G10" s="76" t="s">
        <v>802</v>
      </c>
      <c r="H10" s="77" t="str">
        <f>VLOOKUP(B10,考勤!C:E,3,0)</f>
        <v>创想悦动</v>
      </c>
      <c r="I10" s="77" t="str">
        <f>VLOOKUP(B10,考勤!C:F,2,0)</f>
        <v>申华</v>
      </c>
      <c r="J10" s="78">
        <f t="shared" si="0"/>
        <v>1</v>
      </c>
      <c r="K10" s="78">
        <f t="shared" si="1"/>
        <v>1</v>
      </c>
      <c r="L10" s="34" t="b">
        <f>VLOOKUP(B10,工资表明细!$C$2:$D$352,2,0)=C10</f>
        <v>1</v>
      </c>
      <c r="M10" s="31">
        <f>VLOOKUP(B10,工资表明细!$C$2:$I$352,7,0)</f>
        <v>0</v>
      </c>
      <c r="N10" s="79"/>
      <c r="R10" s="6"/>
      <c r="S10" s="3"/>
    </row>
    <row r="11" ht="16.5" spans="1:19">
      <c r="A11" s="26">
        <v>4</v>
      </c>
      <c r="B11" s="28" t="s">
        <v>118</v>
      </c>
      <c r="C11" s="28" t="s">
        <v>119</v>
      </c>
      <c r="D11" s="75">
        <v>-240</v>
      </c>
      <c r="E11" s="28"/>
      <c r="F11" s="57"/>
      <c r="G11" s="76" t="s">
        <v>802</v>
      </c>
      <c r="H11" s="77" t="str">
        <f>VLOOKUP(B11,考勤!C:E,3,0)</f>
        <v>创想悦动</v>
      </c>
      <c r="I11" s="77" t="str">
        <f>VLOOKUP(B11,考勤!C:F,2,0)</f>
        <v>杨晓波</v>
      </c>
      <c r="J11" s="78">
        <f t="shared" si="0"/>
        <v>1</v>
      </c>
      <c r="K11" s="78">
        <f t="shared" si="1"/>
        <v>1</v>
      </c>
      <c r="L11" s="34" t="b">
        <f>VLOOKUP(B11,工资表明细!$C$2:$D$352,2,0)=C11</f>
        <v>1</v>
      </c>
      <c r="M11" s="31">
        <f>VLOOKUP(B11,工资表明细!$C$2:$I$352,7,0)</f>
        <v>0</v>
      </c>
      <c r="N11" s="79"/>
      <c r="R11" s="6"/>
      <c r="S11" s="3"/>
    </row>
    <row r="12" ht="16.5" spans="1:19">
      <c r="A12" s="26">
        <v>5</v>
      </c>
      <c r="B12" s="28" t="s">
        <v>123</v>
      </c>
      <c r="C12" s="28" t="s">
        <v>124</v>
      </c>
      <c r="D12" s="75">
        <v>-160</v>
      </c>
      <c r="E12" s="28"/>
      <c r="F12" s="57"/>
      <c r="G12" s="76" t="s">
        <v>802</v>
      </c>
      <c r="H12" s="77" t="str">
        <f>VLOOKUP(B12,考勤!C:E,3,0)</f>
        <v>创想悦动</v>
      </c>
      <c r="I12" s="77" t="str">
        <f>VLOOKUP(B12,考勤!C:F,2,0)</f>
        <v>杨振</v>
      </c>
      <c r="J12" s="78">
        <f t="shared" si="0"/>
        <v>1</v>
      </c>
      <c r="K12" s="78">
        <f t="shared" si="1"/>
        <v>1</v>
      </c>
      <c r="L12" s="34" t="b">
        <f>VLOOKUP(B12,工资表明细!$C$2:$D$352,2,0)=C12</f>
        <v>1</v>
      </c>
      <c r="M12" s="31">
        <f>VLOOKUP(B12,工资表明细!$C$2:$I$352,7,0)</f>
        <v>0</v>
      </c>
      <c r="N12" s="79"/>
      <c r="R12" s="6"/>
      <c r="S12" s="3"/>
    </row>
    <row r="13" ht="16.5" spans="1:19">
      <c r="A13" s="26">
        <v>6</v>
      </c>
      <c r="B13" s="28" t="s">
        <v>128</v>
      </c>
      <c r="C13" s="28" t="s">
        <v>129</v>
      </c>
      <c r="D13" s="75">
        <v>-160</v>
      </c>
      <c r="E13" s="28"/>
      <c r="F13" s="57"/>
      <c r="G13" s="76" t="s">
        <v>802</v>
      </c>
      <c r="H13" s="77" t="str">
        <f>VLOOKUP(B13,考勤!C:E,3,0)</f>
        <v>创想悦动</v>
      </c>
      <c r="I13" s="77" t="str">
        <f>VLOOKUP(B13,考勤!C:F,2,0)</f>
        <v>蔡昕宇</v>
      </c>
      <c r="J13" s="78">
        <f t="shared" si="0"/>
        <v>1</v>
      </c>
      <c r="K13" s="78">
        <f t="shared" si="1"/>
        <v>1</v>
      </c>
      <c r="L13" s="34" t="b">
        <f>VLOOKUP(B13,工资表明细!$C$2:$D$352,2,0)=C13</f>
        <v>1</v>
      </c>
      <c r="M13" s="31">
        <f>VLOOKUP(B13,工资表明细!$C$2:$I$352,7,0)</f>
        <v>0</v>
      </c>
      <c r="N13" s="79"/>
      <c r="R13" s="6"/>
      <c r="S13" s="3"/>
    </row>
    <row r="14" ht="16.5" spans="1:19">
      <c r="A14" s="26">
        <v>7</v>
      </c>
      <c r="B14" s="28" t="s">
        <v>155</v>
      </c>
      <c r="C14" s="28" t="s">
        <v>156</v>
      </c>
      <c r="D14" s="75">
        <v>-160</v>
      </c>
      <c r="E14" s="28"/>
      <c r="F14" s="57"/>
      <c r="G14" s="76" t="s">
        <v>802</v>
      </c>
      <c r="H14" s="77" t="str">
        <f>VLOOKUP(B14,考勤!C:E,3,0)</f>
        <v>创想悦动</v>
      </c>
      <c r="I14" s="77" t="str">
        <f>VLOOKUP(B14,考勤!C:F,2,0)</f>
        <v>胡豪</v>
      </c>
      <c r="J14" s="78">
        <f t="shared" si="0"/>
        <v>1</v>
      </c>
      <c r="K14" s="78">
        <f t="shared" si="1"/>
        <v>1</v>
      </c>
      <c r="L14" s="34" t="b">
        <f>VLOOKUP(B14,工资表明细!$C$2:$D$352,2,0)=C14</f>
        <v>1</v>
      </c>
      <c r="M14" s="31">
        <f>VLOOKUP(B14,工资表明细!$C$2:$I$352,7,0)</f>
        <v>0</v>
      </c>
      <c r="N14" s="79"/>
      <c r="R14" s="6"/>
      <c r="S14" s="3"/>
    </row>
    <row r="15" ht="16.5" spans="1:19">
      <c r="A15" s="26">
        <v>8</v>
      </c>
      <c r="B15" s="28" t="s">
        <v>160</v>
      </c>
      <c r="C15" s="28" t="s">
        <v>161</v>
      </c>
      <c r="D15" s="75">
        <v>-160</v>
      </c>
      <c r="E15" s="28"/>
      <c r="F15" s="57"/>
      <c r="G15" s="76" t="s">
        <v>802</v>
      </c>
      <c r="H15" s="77" t="str">
        <f>VLOOKUP(B15,考勤!C:E,3,0)</f>
        <v>创想悦动</v>
      </c>
      <c r="I15" s="77" t="str">
        <f>VLOOKUP(B15,考勤!C:F,2,0)</f>
        <v>谢华明</v>
      </c>
      <c r="J15" s="78">
        <f t="shared" si="0"/>
        <v>1</v>
      </c>
      <c r="K15" s="78">
        <f t="shared" si="1"/>
        <v>1</v>
      </c>
      <c r="L15" s="34" t="b">
        <f>VLOOKUP(B15,工资表明细!$C$2:$D$352,2,0)=C15</f>
        <v>1</v>
      </c>
      <c r="M15" s="31">
        <f>VLOOKUP(B15,工资表明细!$C$2:$I$352,7,0)</f>
        <v>0</v>
      </c>
      <c r="N15" s="79"/>
      <c r="R15" s="6"/>
      <c r="S15" s="3"/>
    </row>
    <row r="16" ht="16.5" spans="1:19">
      <c r="A16" s="26">
        <v>9</v>
      </c>
      <c r="B16" s="28" t="s">
        <v>170</v>
      </c>
      <c r="C16" s="28" t="s">
        <v>171</v>
      </c>
      <c r="D16" s="75">
        <v>-160</v>
      </c>
      <c r="E16" s="28"/>
      <c r="F16" s="57"/>
      <c r="G16" s="76" t="s">
        <v>802</v>
      </c>
      <c r="H16" s="77" t="str">
        <f>VLOOKUP(B16,考勤!C:E,3,0)</f>
        <v>创想悦动</v>
      </c>
      <c r="I16" s="77" t="str">
        <f>VLOOKUP(B16,考勤!C:F,2,0)</f>
        <v>张文文</v>
      </c>
      <c r="J16" s="78">
        <f t="shared" si="0"/>
        <v>1</v>
      </c>
      <c r="K16" s="78">
        <f t="shared" si="1"/>
        <v>1</v>
      </c>
      <c r="L16" s="34" t="b">
        <f>VLOOKUP(B16,工资表明细!$C$2:$D$352,2,0)=C16</f>
        <v>1</v>
      </c>
      <c r="M16" s="31">
        <f>VLOOKUP(B16,工资表明细!$C$2:$I$352,7,0)</f>
        <v>0</v>
      </c>
      <c r="N16" s="79"/>
      <c r="R16" s="6"/>
      <c r="S16" s="3"/>
    </row>
    <row r="17" ht="16.5" spans="1:19">
      <c r="A17" s="26">
        <v>10</v>
      </c>
      <c r="B17" s="28" t="s">
        <v>175</v>
      </c>
      <c r="C17" s="28" t="s">
        <v>176</v>
      </c>
      <c r="D17" s="75">
        <v>-240</v>
      </c>
      <c r="E17" s="28"/>
      <c r="F17" s="57"/>
      <c r="G17" s="76" t="s">
        <v>802</v>
      </c>
      <c r="H17" s="77" t="str">
        <f>VLOOKUP(B17,考勤!C:E,3,0)</f>
        <v>创想悦动</v>
      </c>
      <c r="I17" s="77" t="str">
        <f>VLOOKUP(B17,考勤!C:F,2,0)</f>
        <v>刘禹豪</v>
      </c>
      <c r="J17" s="78">
        <f t="shared" si="0"/>
        <v>1</v>
      </c>
      <c r="K17" s="78">
        <f t="shared" si="1"/>
        <v>1</v>
      </c>
      <c r="L17" s="34" t="b">
        <f>VLOOKUP(B17,工资表明细!$C$2:$D$352,2,0)=C17</f>
        <v>1</v>
      </c>
      <c r="M17" s="31">
        <f>VLOOKUP(B17,工资表明细!$C$2:$I$352,7,0)</f>
        <v>0</v>
      </c>
      <c r="N17" s="79"/>
      <c r="R17" s="6"/>
      <c r="S17" s="3"/>
    </row>
    <row r="18" ht="16.5" spans="1:19">
      <c r="A18" s="26">
        <v>11</v>
      </c>
      <c r="B18" s="28" t="s">
        <v>180</v>
      </c>
      <c r="C18" s="28" t="s">
        <v>181</v>
      </c>
      <c r="D18" s="75">
        <v>-160</v>
      </c>
      <c r="E18" s="28"/>
      <c r="F18" s="57"/>
      <c r="G18" s="76" t="s">
        <v>802</v>
      </c>
      <c r="H18" s="77" t="str">
        <f>VLOOKUP(B18,考勤!C:E,3,0)</f>
        <v>创想悦动</v>
      </c>
      <c r="I18" s="77" t="str">
        <f>VLOOKUP(B18,考勤!C:F,2,0)</f>
        <v>刘锦翔</v>
      </c>
      <c r="J18" s="78">
        <f t="shared" si="0"/>
        <v>1</v>
      </c>
      <c r="K18" s="78">
        <f t="shared" si="1"/>
        <v>1</v>
      </c>
      <c r="L18" s="34" t="b">
        <f>VLOOKUP(B18,工资表明细!$C$2:$D$352,2,0)=C18</f>
        <v>1</v>
      </c>
      <c r="M18" s="31">
        <f>VLOOKUP(B18,工资表明细!$C$2:$I$352,7,0)</f>
        <v>0</v>
      </c>
      <c r="N18" s="79"/>
      <c r="R18" s="6"/>
      <c r="S18" s="3"/>
    </row>
    <row r="19" ht="16.5" spans="1:19">
      <c r="A19" s="26">
        <v>12</v>
      </c>
      <c r="B19" s="28" t="s">
        <v>190</v>
      </c>
      <c r="C19" s="28" t="s">
        <v>191</v>
      </c>
      <c r="D19" s="75">
        <v>-160</v>
      </c>
      <c r="E19" s="28"/>
      <c r="F19" s="57"/>
      <c r="G19" s="76" t="s">
        <v>802</v>
      </c>
      <c r="H19" s="77" t="str">
        <f>VLOOKUP(B19,考勤!C:E,3,0)</f>
        <v>创想悦动</v>
      </c>
      <c r="I19" s="77" t="str">
        <f>VLOOKUP(B19,考勤!C:F,2,0)</f>
        <v>黄馨玥</v>
      </c>
      <c r="J19" s="78">
        <f t="shared" si="0"/>
        <v>1</v>
      </c>
      <c r="K19" s="78">
        <f t="shared" si="1"/>
        <v>1</v>
      </c>
      <c r="L19" s="34" t="b">
        <f>VLOOKUP(B19,工资表明细!$C$2:$D$352,2,0)=C19</f>
        <v>1</v>
      </c>
      <c r="M19" s="31">
        <f>VLOOKUP(B19,工资表明细!$C$2:$I$352,7,0)</f>
        <v>0</v>
      </c>
      <c r="N19" s="79"/>
      <c r="R19" s="6"/>
      <c r="S19" s="3"/>
    </row>
    <row r="20" ht="16.5" spans="1:19">
      <c r="A20" s="26">
        <v>13</v>
      </c>
      <c r="B20" s="28" t="s">
        <v>195</v>
      </c>
      <c r="C20" s="28" t="s">
        <v>196</v>
      </c>
      <c r="D20" s="75">
        <v>-160</v>
      </c>
      <c r="E20" s="28"/>
      <c r="F20" s="57"/>
      <c r="G20" s="76" t="s">
        <v>802</v>
      </c>
      <c r="H20" s="77" t="str">
        <f>VLOOKUP(B20,考勤!C:E,3,0)</f>
        <v>创想悦动</v>
      </c>
      <c r="I20" s="77" t="str">
        <f>VLOOKUP(B20,考勤!C:F,2,0)</f>
        <v>彭星翰</v>
      </c>
      <c r="J20" s="78">
        <f t="shared" si="0"/>
        <v>1</v>
      </c>
      <c r="K20" s="78">
        <f t="shared" si="1"/>
        <v>1</v>
      </c>
      <c r="L20" s="34" t="b">
        <f>VLOOKUP(B20,工资表明细!$C$2:$D$352,2,0)=C20</f>
        <v>1</v>
      </c>
      <c r="M20" s="31">
        <f>VLOOKUP(B20,工资表明细!$C$2:$I$352,7,0)</f>
        <v>0</v>
      </c>
      <c r="N20" s="79"/>
      <c r="R20" s="6"/>
      <c r="S20" s="3"/>
    </row>
    <row r="21" ht="16.5" spans="1:19">
      <c r="A21" s="26">
        <v>14</v>
      </c>
      <c r="B21" s="28" t="s">
        <v>200</v>
      </c>
      <c r="C21" s="28" t="s">
        <v>201</v>
      </c>
      <c r="D21" s="75">
        <v>-160</v>
      </c>
      <c r="E21" s="28"/>
      <c r="F21" s="57"/>
      <c r="G21" s="76" t="s">
        <v>802</v>
      </c>
      <c r="H21" s="77" t="str">
        <f>VLOOKUP(B21,考勤!C:E,3,0)</f>
        <v>创想悦动</v>
      </c>
      <c r="I21" s="77" t="str">
        <f>VLOOKUP(B21,考勤!C:F,2,0)</f>
        <v>何泽浩</v>
      </c>
      <c r="J21" s="78">
        <f t="shared" si="0"/>
        <v>1</v>
      </c>
      <c r="K21" s="78">
        <f t="shared" si="1"/>
        <v>1</v>
      </c>
      <c r="L21" s="34" t="b">
        <f>VLOOKUP(B21,工资表明细!$C$2:$D$352,2,0)=C21</f>
        <v>1</v>
      </c>
      <c r="M21" s="31">
        <f>VLOOKUP(B21,工资表明细!$C$2:$I$352,7,0)</f>
        <v>0</v>
      </c>
      <c r="N21" s="79"/>
      <c r="R21" s="6"/>
      <c r="S21" s="3"/>
    </row>
    <row r="22" ht="16.5" spans="1:19">
      <c r="A22" s="26">
        <v>15</v>
      </c>
      <c r="B22" s="28" t="s">
        <v>209</v>
      </c>
      <c r="C22" s="28" t="s">
        <v>210</v>
      </c>
      <c r="D22" s="75">
        <v>-160</v>
      </c>
      <c r="E22" s="28"/>
      <c r="F22" s="57"/>
      <c r="G22" s="76" t="s">
        <v>802</v>
      </c>
      <c r="H22" s="77" t="str">
        <f>VLOOKUP(B22,考勤!C:E,3,0)</f>
        <v>创想悦动</v>
      </c>
      <c r="I22" s="77" t="str">
        <f>VLOOKUP(B22,考勤!C:F,2,0)</f>
        <v>安咛</v>
      </c>
      <c r="J22" s="78">
        <f t="shared" si="0"/>
        <v>1</v>
      </c>
      <c r="K22" s="78">
        <f t="shared" si="1"/>
        <v>1</v>
      </c>
      <c r="L22" s="34" t="b">
        <f>VLOOKUP(B22,工资表明细!$C$2:$D$352,2,0)=C22</f>
        <v>1</v>
      </c>
      <c r="M22" s="31">
        <f>VLOOKUP(B22,工资表明细!$C$2:$I$352,7,0)</f>
        <v>0</v>
      </c>
      <c r="N22" s="79"/>
      <c r="R22" s="6"/>
      <c r="S22" s="3"/>
    </row>
    <row r="23" ht="16.5" spans="1:19">
      <c r="A23" s="26">
        <v>16</v>
      </c>
      <c r="B23" s="28" t="s">
        <v>204</v>
      </c>
      <c r="C23" s="28" t="s">
        <v>205</v>
      </c>
      <c r="D23" s="75">
        <v>-160</v>
      </c>
      <c r="E23" s="28"/>
      <c r="F23" s="57"/>
      <c r="G23" s="76" t="s">
        <v>802</v>
      </c>
      <c r="H23" s="77" t="str">
        <f>VLOOKUP(B23,考勤!C:E,3,0)</f>
        <v>创想悦动</v>
      </c>
      <c r="I23" s="77" t="str">
        <f>VLOOKUP(B23,考勤!C:F,2,0)</f>
        <v>邱永恒</v>
      </c>
      <c r="J23" s="78">
        <f t="shared" si="0"/>
        <v>1</v>
      </c>
      <c r="K23" s="78">
        <f t="shared" si="1"/>
        <v>2</v>
      </c>
      <c r="L23" s="34" t="b">
        <f>VLOOKUP(B23,工资表明细!$C$2:$D$352,2,0)=C23</f>
        <v>1</v>
      </c>
      <c r="M23" s="31">
        <f>VLOOKUP(B23,工资表明细!$C$2:$I$352,7,0)</f>
        <v>0</v>
      </c>
      <c r="N23" s="79"/>
      <c r="R23" s="6"/>
      <c r="S23" s="3"/>
    </row>
    <row r="24" ht="16.5" spans="1:19">
      <c r="A24" s="26">
        <v>17</v>
      </c>
      <c r="B24" s="28" t="s">
        <v>228</v>
      </c>
      <c r="C24" s="28" t="s">
        <v>229</v>
      </c>
      <c r="D24" s="75">
        <v>-160</v>
      </c>
      <c r="E24" s="28"/>
      <c r="F24" s="57"/>
      <c r="G24" s="76" t="s">
        <v>802</v>
      </c>
      <c r="H24" s="77" t="str">
        <f>VLOOKUP(B24,考勤!C:E,3,0)</f>
        <v>创想悦动</v>
      </c>
      <c r="I24" s="77" t="str">
        <f>VLOOKUP(B24,考勤!C:F,2,0)</f>
        <v>赵旭临</v>
      </c>
      <c r="J24" s="78">
        <f t="shared" si="0"/>
        <v>1</v>
      </c>
      <c r="K24" s="78">
        <f t="shared" si="1"/>
        <v>1</v>
      </c>
      <c r="L24" s="34" t="b">
        <f>VLOOKUP(B24,工资表明细!$C$2:$D$352,2,0)=C24</f>
        <v>1</v>
      </c>
      <c r="M24" s="31">
        <f>VLOOKUP(B24,工资表明细!$C$2:$I$352,7,0)</f>
        <v>0</v>
      </c>
      <c r="N24" s="79"/>
      <c r="R24" s="6"/>
      <c r="S24" s="3"/>
    </row>
    <row r="25" ht="16.5" spans="1:19">
      <c r="A25" s="26">
        <v>18</v>
      </c>
      <c r="B25" s="28" t="s">
        <v>218</v>
      </c>
      <c r="C25" s="28" t="s">
        <v>219</v>
      </c>
      <c r="D25" s="75">
        <v>-160</v>
      </c>
      <c r="E25" s="28"/>
      <c r="F25" s="57"/>
      <c r="G25" s="76" t="s">
        <v>802</v>
      </c>
      <c r="H25" s="77" t="str">
        <f>VLOOKUP(B25,考勤!C:E,3,0)</f>
        <v>创想悦动</v>
      </c>
      <c r="I25" s="77" t="str">
        <f>VLOOKUP(B25,考勤!C:F,2,0)</f>
        <v>曾育辉</v>
      </c>
      <c r="J25" s="78">
        <f t="shared" si="0"/>
        <v>1</v>
      </c>
      <c r="K25" s="78">
        <f t="shared" si="1"/>
        <v>1</v>
      </c>
      <c r="L25" s="34" t="b">
        <f>VLOOKUP(B25,工资表明细!$C$2:$D$352,2,0)=C25</f>
        <v>1</v>
      </c>
      <c r="M25" s="31">
        <f>VLOOKUP(B25,工资表明细!$C$2:$I$352,7,0)</f>
        <v>0</v>
      </c>
      <c r="N25" s="79"/>
      <c r="R25" s="6"/>
      <c r="S25" s="3"/>
    </row>
    <row r="26" ht="16.5" spans="1:19">
      <c r="A26" s="26">
        <v>19</v>
      </c>
      <c r="B26" s="28" t="s">
        <v>242</v>
      </c>
      <c r="C26" s="28" t="s">
        <v>243</v>
      </c>
      <c r="D26" s="75">
        <v>-160</v>
      </c>
      <c r="E26" s="28"/>
      <c r="F26" s="57"/>
      <c r="G26" s="76" t="s">
        <v>802</v>
      </c>
      <c r="H26" s="77" t="str">
        <f>VLOOKUP(B26,考勤!C:E,3,0)</f>
        <v>创想悦动</v>
      </c>
      <c r="I26" s="77" t="str">
        <f>VLOOKUP(B26,考勤!C:F,2,0)</f>
        <v>谢同</v>
      </c>
      <c r="J26" s="78">
        <f t="shared" si="0"/>
        <v>1</v>
      </c>
      <c r="K26" s="78">
        <f t="shared" si="1"/>
        <v>1</v>
      </c>
      <c r="L26" s="34" t="b">
        <f>VLOOKUP(B26,工资表明细!$C$2:$D$352,2,0)=C26</f>
        <v>1</v>
      </c>
      <c r="M26" s="31">
        <f>VLOOKUP(B26,工资表明细!$C$2:$I$352,7,0)</f>
        <v>0</v>
      </c>
      <c r="N26" s="79"/>
      <c r="R26" s="6"/>
      <c r="S26" s="3"/>
    </row>
    <row r="27" ht="16.5" spans="1:19">
      <c r="A27" s="26">
        <v>20</v>
      </c>
      <c r="B27" s="28" t="s">
        <v>233</v>
      </c>
      <c r="C27" s="28" t="s">
        <v>234</v>
      </c>
      <c r="D27" s="75">
        <v>-160</v>
      </c>
      <c r="E27" s="28"/>
      <c r="F27" s="57"/>
      <c r="G27" s="76" t="s">
        <v>802</v>
      </c>
      <c r="H27" s="77" t="str">
        <f>VLOOKUP(B27,考勤!C:E,3,0)</f>
        <v>创想悦动</v>
      </c>
      <c r="I27" s="77" t="str">
        <f>VLOOKUP(B27,考勤!C:F,2,0)</f>
        <v>李钊</v>
      </c>
      <c r="J27" s="78">
        <f t="shared" si="0"/>
        <v>1</v>
      </c>
      <c r="K27" s="78">
        <f t="shared" si="1"/>
        <v>1</v>
      </c>
      <c r="L27" s="34" t="b">
        <f>VLOOKUP(B27,工资表明细!$C$2:$D$352,2,0)=C27</f>
        <v>1</v>
      </c>
      <c r="M27" s="31">
        <f>VLOOKUP(B27,工资表明细!$C$2:$I$352,7,0)</f>
        <v>0</v>
      </c>
      <c r="N27" s="79"/>
      <c r="R27" s="6"/>
      <c r="S27" s="3"/>
    </row>
    <row r="28" ht="16.5" spans="1:19">
      <c r="A28" s="26">
        <v>21</v>
      </c>
      <c r="B28" s="28" t="s">
        <v>223</v>
      </c>
      <c r="C28" s="28" t="s">
        <v>224</v>
      </c>
      <c r="D28" s="75">
        <v>-160</v>
      </c>
      <c r="E28" s="28"/>
      <c r="F28" s="57"/>
      <c r="G28" s="76" t="s">
        <v>802</v>
      </c>
      <c r="H28" s="77" t="str">
        <f>VLOOKUP(B28,考勤!C:E,3,0)</f>
        <v>创想悦动</v>
      </c>
      <c r="I28" s="77" t="str">
        <f>VLOOKUP(B28,考勤!C:F,2,0)</f>
        <v>李艾龙</v>
      </c>
      <c r="J28" s="78">
        <f t="shared" si="0"/>
        <v>1</v>
      </c>
      <c r="K28" s="78">
        <f t="shared" si="1"/>
        <v>1</v>
      </c>
      <c r="L28" s="34" t="b">
        <f>VLOOKUP(B28,工资表明细!$C$2:$D$352,2,0)=C28</f>
        <v>1</v>
      </c>
      <c r="M28" s="31">
        <f>VLOOKUP(B28,工资表明细!$C$2:$I$352,7,0)</f>
        <v>0</v>
      </c>
      <c r="N28" s="79"/>
      <c r="R28" s="6"/>
      <c r="S28" s="3"/>
    </row>
    <row r="29" ht="16.5" spans="1:19">
      <c r="A29" s="26">
        <v>22</v>
      </c>
      <c r="B29" s="28" t="s">
        <v>247</v>
      </c>
      <c r="C29" s="28" t="s">
        <v>248</v>
      </c>
      <c r="D29" s="75">
        <v>-240</v>
      </c>
      <c r="E29" s="28"/>
      <c r="F29" s="57"/>
      <c r="G29" s="76" t="s">
        <v>802</v>
      </c>
      <c r="H29" s="77" t="str">
        <f>VLOOKUP(B29,考勤!C:E,3,0)</f>
        <v>创想悦动</v>
      </c>
      <c r="I29" s="77" t="str">
        <f>VLOOKUP(B29,考勤!C:F,2,0)</f>
        <v>刘培琳</v>
      </c>
      <c r="J29" s="78">
        <f t="shared" si="0"/>
        <v>1</v>
      </c>
      <c r="K29" s="78">
        <f t="shared" si="1"/>
        <v>2</v>
      </c>
      <c r="L29" s="34" t="b">
        <f>VLOOKUP(B29,工资表明细!$C$2:$D$352,2,0)=C29</f>
        <v>1</v>
      </c>
      <c r="M29" s="31">
        <f>VLOOKUP(B29,工资表明细!$C$2:$I$352,7,0)</f>
        <v>0</v>
      </c>
      <c r="N29" s="79"/>
      <c r="R29" s="6"/>
      <c r="S29" s="3"/>
    </row>
    <row r="30" ht="16.5" spans="1:19">
      <c r="A30" s="26">
        <v>23</v>
      </c>
      <c r="B30" s="28" t="s">
        <v>262</v>
      </c>
      <c r="C30" s="28" t="s">
        <v>263</v>
      </c>
      <c r="D30" s="75">
        <v>-160</v>
      </c>
      <c r="E30" s="28"/>
      <c r="F30" s="57"/>
      <c r="G30" s="76" t="s">
        <v>802</v>
      </c>
      <c r="H30" s="77" t="str">
        <f>VLOOKUP(B30,考勤!C:E,3,0)</f>
        <v>创想悦动</v>
      </c>
      <c r="I30" s="77" t="str">
        <f>VLOOKUP(B30,考勤!C:F,2,0)</f>
        <v>刘伟</v>
      </c>
      <c r="J30" s="78">
        <f t="shared" si="0"/>
        <v>1</v>
      </c>
      <c r="K30" s="78">
        <f t="shared" si="1"/>
        <v>1</v>
      </c>
      <c r="L30" s="34" t="b">
        <f>VLOOKUP(B30,工资表明细!$C$2:$D$352,2,0)=C30</f>
        <v>1</v>
      </c>
      <c r="M30" s="31">
        <f>VLOOKUP(B30,工资表明细!$C$2:$I$352,7,0)</f>
        <v>0</v>
      </c>
      <c r="N30" s="79"/>
      <c r="R30" s="6"/>
      <c r="S30" s="3"/>
    </row>
    <row r="31" ht="16.5" spans="1:19">
      <c r="A31" s="26">
        <v>24</v>
      </c>
      <c r="B31" s="28" t="s">
        <v>277</v>
      </c>
      <c r="C31" s="28" t="s">
        <v>278</v>
      </c>
      <c r="D31" s="75">
        <v>-160</v>
      </c>
      <c r="E31" s="28"/>
      <c r="F31" s="57"/>
      <c r="G31" s="76" t="s">
        <v>802</v>
      </c>
      <c r="H31" s="77" t="str">
        <f>VLOOKUP(B31,考勤!C:E,3,0)</f>
        <v>创想悦动</v>
      </c>
      <c r="I31" s="77" t="str">
        <f>VLOOKUP(B31,考勤!C:F,2,0)</f>
        <v>狄慕华</v>
      </c>
      <c r="J31" s="78">
        <f t="shared" si="0"/>
        <v>1</v>
      </c>
      <c r="K31" s="78">
        <f t="shared" si="1"/>
        <v>1</v>
      </c>
      <c r="L31" s="34" t="b">
        <f>VLOOKUP(B31,工资表明细!$C$2:$D$352,2,0)=C31</f>
        <v>1</v>
      </c>
      <c r="M31" s="31">
        <f>VLOOKUP(B31,工资表明细!$C$2:$I$352,7,0)</f>
        <v>0</v>
      </c>
      <c r="N31" s="79"/>
      <c r="R31" s="6"/>
      <c r="S31" s="3"/>
    </row>
    <row r="32" ht="16.5" spans="1:19">
      <c r="A32" s="26">
        <v>25</v>
      </c>
      <c r="B32" s="28" t="s">
        <v>282</v>
      </c>
      <c r="C32" s="28" t="s">
        <v>283</v>
      </c>
      <c r="D32" s="75">
        <v>-160</v>
      </c>
      <c r="E32" s="28"/>
      <c r="F32" s="57"/>
      <c r="G32" s="76" t="s">
        <v>802</v>
      </c>
      <c r="H32" s="77" t="str">
        <f>VLOOKUP(B32,考勤!C:E,3,0)</f>
        <v>创想悦动</v>
      </c>
      <c r="I32" s="77" t="str">
        <f>VLOOKUP(B32,考勤!C:F,2,0)</f>
        <v>陈子瑄</v>
      </c>
      <c r="J32" s="78">
        <f t="shared" si="0"/>
        <v>1</v>
      </c>
      <c r="K32" s="78">
        <f t="shared" si="1"/>
        <v>1</v>
      </c>
      <c r="L32" s="34" t="b">
        <f>VLOOKUP(B32,工资表明细!$C$2:$D$352,2,0)=C32</f>
        <v>1</v>
      </c>
      <c r="M32" s="31">
        <f>VLOOKUP(B32,工资表明细!$C$2:$I$352,7,0)</f>
        <v>0</v>
      </c>
      <c r="N32" s="79"/>
      <c r="R32" s="6"/>
      <c r="S32" s="3"/>
    </row>
    <row r="33" ht="16.5" spans="1:19">
      <c r="A33" s="26">
        <v>26</v>
      </c>
      <c r="B33" s="28" t="s">
        <v>287</v>
      </c>
      <c r="C33" s="28" t="s">
        <v>288</v>
      </c>
      <c r="D33" s="75">
        <v>-160</v>
      </c>
      <c r="E33" s="28"/>
      <c r="F33" s="57"/>
      <c r="G33" s="76" t="s">
        <v>802</v>
      </c>
      <c r="H33" s="77" t="str">
        <f>VLOOKUP(B33,考勤!C:E,3,0)</f>
        <v>创想悦动</v>
      </c>
      <c r="I33" s="77" t="str">
        <f>VLOOKUP(B33,考勤!C:F,2,0)</f>
        <v>陈玉莹</v>
      </c>
      <c r="J33" s="78">
        <f t="shared" si="0"/>
        <v>1</v>
      </c>
      <c r="K33" s="78">
        <f t="shared" si="1"/>
        <v>1</v>
      </c>
      <c r="L33" s="34" t="b">
        <f>VLOOKUP(B33,工资表明细!$C$2:$D$352,2,0)=C33</f>
        <v>1</v>
      </c>
      <c r="M33" s="31">
        <f>VLOOKUP(B33,工资表明细!$C$2:$I$352,7,0)</f>
        <v>0</v>
      </c>
      <c r="N33" s="79"/>
      <c r="R33" s="6"/>
      <c r="S33" s="3"/>
    </row>
    <row r="34" ht="16.5" spans="1:19">
      <c r="A34" s="26">
        <v>27</v>
      </c>
      <c r="B34" s="28" t="s">
        <v>292</v>
      </c>
      <c r="C34" s="28" t="s">
        <v>293</v>
      </c>
      <c r="D34" s="75">
        <v>-160</v>
      </c>
      <c r="E34" s="28"/>
      <c r="F34" s="57"/>
      <c r="G34" s="76" t="s">
        <v>802</v>
      </c>
      <c r="H34" s="77" t="str">
        <f>VLOOKUP(B34,考勤!C:E,3,0)</f>
        <v>创想悦动</v>
      </c>
      <c r="I34" s="77" t="str">
        <f>VLOOKUP(B34,考勤!C:F,2,0)</f>
        <v>陈雨欣</v>
      </c>
      <c r="J34" s="78">
        <f t="shared" si="0"/>
        <v>1</v>
      </c>
      <c r="K34" s="78">
        <f t="shared" si="1"/>
        <v>1</v>
      </c>
      <c r="L34" s="34" t="b">
        <f>VLOOKUP(B34,工资表明细!$C$2:$D$352,2,0)=C34</f>
        <v>1</v>
      </c>
      <c r="M34" s="31">
        <f>VLOOKUP(B34,工资表明细!$C$2:$I$352,7,0)</f>
        <v>0</v>
      </c>
      <c r="N34" s="79"/>
      <c r="R34" s="6"/>
      <c r="S34" s="3"/>
    </row>
    <row r="35" ht="16.5" spans="1:19">
      <c r="A35" s="26">
        <v>28</v>
      </c>
      <c r="B35" s="28" t="s">
        <v>296</v>
      </c>
      <c r="C35" s="28" t="s">
        <v>297</v>
      </c>
      <c r="D35" s="75">
        <v>-160</v>
      </c>
      <c r="E35" s="28"/>
      <c r="F35" s="57"/>
      <c r="G35" s="76" t="s">
        <v>802</v>
      </c>
      <c r="H35" s="77" t="str">
        <f>VLOOKUP(B35,考勤!C:E,3,0)</f>
        <v>创想悦动</v>
      </c>
      <c r="I35" s="77" t="str">
        <f>VLOOKUP(B35,考勤!C:F,2,0)</f>
        <v>李安迪</v>
      </c>
      <c r="J35" s="78">
        <f t="shared" si="0"/>
        <v>1</v>
      </c>
      <c r="K35" s="78">
        <f t="shared" si="1"/>
        <v>1</v>
      </c>
      <c r="L35" s="34" t="b">
        <f>VLOOKUP(B35,工资表明细!$C$2:$D$352,2,0)=C35</f>
        <v>1</v>
      </c>
      <c r="M35" s="31">
        <f>VLOOKUP(B35,工资表明细!$C$2:$I$352,7,0)</f>
        <v>0</v>
      </c>
      <c r="N35" s="79"/>
      <c r="R35" s="6"/>
      <c r="S35" s="3"/>
    </row>
    <row r="36" ht="16.5" spans="1:19">
      <c r="A36" s="26">
        <v>29</v>
      </c>
      <c r="B36" s="28" t="s">
        <v>306</v>
      </c>
      <c r="C36" s="28" t="s">
        <v>307</v>
      </c>
      <c r="D36" s="75">
        <v>-240</v>
      </c>
      <c r="E36" s="28"/>
      <c r="F36" s="57"/>
      <c r="G36" s="76" t="s">
        <v>802</v>
      </c>
      <c r="H36" s="77" t="str">
        <f>VLOOKUP(B36,考勤!C:E,3,0)</f>
        <v>创想悦动</v>
      </c>
      <c r="I36" s="77" t="str">
        <f>VLOOKUP(B36,考勤!C:F,2,0)</f>
        <v>李杨</v>
      </c>
      <c r="J36" s="78">
        <f t="shared" si="0"/>
        <v>1</v>
      </c>
      <c r="K36" s="78">
        <f t="shared" si="1"/>
        <v>1</v>
      </c>
      <c r="L36" s="34" t="b">
        <f>VLOOKUP(B36,工资表明细!$C$2:$D$352,2,0)=C36</f>
        <v>1</v>
      </c>
      <c r="M36" s="31">
        <f>VLOOKUP(B36,工资表明细!$C$2:$I$352,7,0)</f>
        <v>0</v>
      </c>
      <c r="N36" s="79"/>
      <c r="R36" s="6"/>
      <c r="S36" s="3"/>
    </row>
    <row r="37" ht="16.5" spans="1:19">
      <c r="A37" s="26">
        <v>30</v>
      </c>
      <c r="B37" s="28" t="s">
        <v>316</v>
      </c>
      <c r="C37" s="28" t="s">
        <v>317</v>
      </c>
      <c r="D37" s="75">
        <v>-160</v>
      </c>
      <c r="E37" s="28"/>
      <c r="F37" s="57"/>
      <c r="G37" s="76" t="s">
        <v>802</v>
      </c>
      <c r="H37" s="77" t="str">
        <f>VLOOKUP(B37,考勤!C:E,3,0)</f>
        <v>创想悦动</v>
      </c>
      <c r="I37" s="77" t="str">
        <f>VLOOKUP(B37,考勤!C:F,2,0)</f>
        <v>吴润泽</v>
      </c>
      <c r="J37" s="78">
        <f t="shared" si="0"/>
        <v>1</v>
      </c>
      <c r="K37" s="78">
        <f t="shared" si="1"/>
        <v>2</v>
      </c>
      <c r="L37" s="34" t="b">
        <f>VLOOKUP(B37,工资表明细!$C$2:$D$352,2,0)=C37</f>
        <v>1</v>
      </c>
      <c r="M37" s="31">
        <f>VLOOKUP(B37,工资表明细!$C$2:$I$352,7,0)</f>
        <v>0</v>
      </c>
      <c r="N37" s="79"/>
      <c r="R37" s="6"/>
      <c r="S37" s="3"/>
    </row>
    <row r="38" ht="16.5" spans="1:19">
      <c r="A38" s="26">
        <v>31</v>
      </c>
      <c r="B38" s="28" t="s">
        <v>321</v>
      </c>
      <c r="C38" s="28" t="s">
        <v>322</v>
      </c>
      <c r="D38" s="75">
        <v>-160</v>
      </c>
      <c r="E38" s="28"/>
      <c r="F38" s="57"/>
      <c r="G38" s="76" t="s">
        <v>802</v>
      </c>
      <c r="H38" s="77" t="str">
        <f>VLOOKUP(B38,考勤!C:E,3,0)</f>
        <v>创想悦动</v>
      </c>
      <c r="I38" s="77" t="str">
        <f>VLOOKUP(B38,考勤!C:F,2,0)</f>
        <v>肖婷</v>
      </c>
      <c r="J38" s="78">
        <f t="shared" si="0"/>
        <v>1</v>
      </c>
      <c r="K38" s="78">
        <f t="shared" si="1"/>
        <v>1</v>
      </c>
      <c r="L38" s="34" t="b">
        <f>VLOOKUP(B38,工资表明细!$C$2:$D$352,2,0)=C38</f>
        <v>1</v>
      </c>
      <c r="M38" s="31">
        <f>VLOOKUP(B38,工资表明细!$C$2:$I$352,7,0)</f>
        <v>0</v>
      </c>
      <c r="N38" s="79"/>
      <c r="R38" s="6"/>
      <c r="S38" s="3"/>
    </row>
    <row r="39" ht="16.5" spans="1:19">
      <c r="A39" s="26">
        <v>32</v>
      </c>
      <c r="B39" s="28" t="s">
        <v>450</v>
      </c>
      <c r="C39" s="28" t="s">
        <v>451</v>
      </c>
      <c r="D39" s="75">
        <v>-160</v>
      </c>
      <c r="E39" s="28"/>
      <c r="F39" s="57"/>
      <c r="G39" s="76" t="s">
        <v>802</v>
      </c>
      <c r="H39" s="77" t="str">
        <f>VLOOKUP(B39,考勤!C:E,3,0)</f>
        <v>创想悦动</v>
      </c>
      <c r="I39" s="77" t="str">
        <f>VLOOKUP(B39,考勤!C:F,2,0)</f>
        <v>麦汝琪</v>
      </c>
      <c r="J39" s="78">
        <f t="shared" si="0"/>
        <v>1</v>
      </c>
      <c r="K39" s="78">
        <f t="shared" si="1"/>
        <v>1</v>
      </c>
      <c r="L39" s="34" t="b">
        <f>VLOOKUP(B39,工资表明细!$C$2:$D$352,2,0)=C39</f>
        <v>1</v>
      </c>
      <c r="M39" s="31">
        <f>VLOOKUP(B39,工资表明细!$C$2:$I$352,7,0)</f>
        <v>0</v>
      </c>
      <c r="N39" s="79"/>
      <c r="R39" s="6"/>
      <c r="S39" s="3"/>
    </row>
    <row r="40" ht="16.5" spans="1:19">
      <c r="A40" s="26">
        <v>33</v>
      </c>
      <c r="B40" s="28" t="s">
        <v>336</v>
      </c>
      <c r="C40" s="28" t="s">
        <v>337</v>
      </c>
      <c r="D40" s="75">
        <v>-160</v>
      </c>
      <c r="E40" s="28"/>
      <c r="F40" s="57"/>
      <c r="G40" s="76" t="s">
        <v>802</v>
      </c>
      <c r="H40" s="77" t="str">
        <f>VLOOKUP(B40,考勤!C:E,3,0)</f>
        <v>创想悦动</v>
      </c>
      <c r="I40" s="77" t="str">
        <f>VLOOKUP(B40,考勤!C:F,2,0)</f>
        <v>邱瑞沣</v>
      </c>
      <c r="J40" s="78">
        <f t="shared" si="0"/>
        <v>1</v>
      </c>
      <c r="K40" s="78">
        <f t="shared" si="1"/>
        <v>1</v>
      </c>
      <c r="L40" s="34" t="b">
        <f>VLOOKUP(B40,工资表明细!$C$2:$D$352,2,0)=C40</f>
        <v>1</v>
      </c>
      <c r="M40" s="31">
        <f>VLOOKUP(B40,工资表明细!$C$2:$I$352,7,0)</f>
        <v>0</v>
      </c>
      <c r="N40" s="79"/>
      <c r="R40" s="6"/>
      <c r="S40" s="3"/>
    </row>
    <row r="41" ht="16.5" spans="1:19">
      <c r="A41" s="26">
        <v>34</v>
      </c>
      <c r="B41" s="28" t="s">
        <v>346</v>
      </c>
      <c r="C41" s="28" t="s">
        <v>347</v>
      </c>
      <c r="D41" s="75">
        <v>-160</v>
      </c>
      <c r="E41" s="28"/>
      <c r="F41" s="57"/>
      <c r="G41" s="76" t="s">
        <v>802</v>
      </c>
      <c r="H41" s="77" t="str">
        <f>VLOOKUP(B41,考勤!C:E,3,0)</f>
        <v>创想悦动</v>
      </c>
      <c r="I41" s="77" t="str">
        <f>VLOOKUP(B41,考勤!C:F,2,0)</f>
        <v>张哲</v>
      </c>
      <c r="J41" s="78">
        <f t="shared" si="0"/>
        <v>1</v>
      </c>
      <c r="K41" s="78">
        <f t="shared" si="1"/>
        <v>1</v>
      </c>
      <c r="L41" s="34" t="b">
        <f>VLOOKUP(B41,工资表明细!$C$2:$D$352,2,0)=C41</f>
        <v>1</v>
      </c>
      <c r="M41" s="31">
        <f>VLOOKUP(B41,工资表明细!$C$2:$I$352,7,0)</f>
        <v>0</v>
      </c>
      <c r="N41" s="79"/>
      <c r="R41" s="6"/>
      <c r="S41" s="3"/>
    </row>
    <row r="42" ht="16.5" spans="1:19">
      <c r="A42" s="26">
        <v>35</v>
      </c>
      <c r="B42" s="28" t="s">
        <v>360</v>
      </c>
      <c r="C42" s="28" t="s">
        <v>361</v>
      </c>
      <c r="D42" s="75">
        <v>-160</v>
      </c>
      <c r="E42" s="28"/>
      <c r="F42" s="57"/>
      <c r="G42" s="76" t="s">
        <v>802</v>
      </c>
      <c r="H42" s="77" t="str">
        <f>VLOOKUP(B42,考勤!C:E,3,0)</f>
        <v>创想悦动</v>
      </c>
      <c r="I42" s="77" t="str">
        <f>VLOOKUP(B42,考勤!C:F,2,0)</f>
        <v>赵祎迪</v>
      </c>
      <c r="J42" s="78">
        <f t="shared" si="0"/>
        <v>1</v>
      </c>
      <c r="K42" s="78">
        <f t="shared" si="1"/>
        <v>1</v>
      </c>
      <c r="L42" s="34" t="b">
        <f>VLOOKUP(B42,工资表明细!$C$2:$D$352,2,0)=C42</f>
        <v>1</v>
      </c>
      <c r="M42" s="31">
        <f>VLOOKUP(B42,工资表明细!$C$2:$I$352,7,0)</f>
        <v>0</v>
      </c>
      <c r="N42" s="79"/>
      <c r="R42" s="6"/>
      <c r="S42" s="3"/>
    </row>
    <row r="43" ht="16.5" spans="1:19">
      <c r="A43" s="26">
        <v>36</v>
      </c>
      <c r="B43" s="28" t="s">
        <v>364</v>
      </c>
      <c r="C43" s="28" t="s">
        <v>365</v>
      </c>
      <c r="D43" s="75">
        <v>-160</v>
      </c>
      <c r="E43" s="28"/>
      <c r="F43" s="57"/>
      <c r="G43" s="76" t="s">
        <v>802</v>
      </c>
      <c r="H43" s="77" t="str">
        <f>VLOOKUP(B43,考勤!C:E,3,0)</f>
        <v>创想悦动</v>
      </c>
      <c r="I43" s="77" t="str">
        <f>VLOOKUP(B43,考勤!C:F,2,0)</f>
        <v>陈碧云</v>
      </c>
      <c r="J43" s="78">
        <f t="shared" si="0"/>
        <v>1</v>
      </c>
      <c r="K43" s="78">
        <f t="shared" si="1"/>
        <v>2</v>
      </c>
      <c r="L43" s="34" t="b">
        <f>VLOOKUP(B43,工资表明细!$C$2:$D$352,2,0)=C43</f>
        <v>1</v>
      </c>
      <c r="M43" s="31">
        <f>VLOOKUP(B43,工资表明细!$C$2:$I$352,7,0)</f>
        <v>0</v>
      </c>
      <c r="N43" s="79"/>
      <c r="R43" s="6"/>
      <c r="S43" s="3"/>
    </row>
    <row r="44" ht="16.5" spans="1:19">
      <c r="A44" s="26">
        <v>37</v>
      </c>
      <c r="B44" s="28" t="s">
        <v>379</v>
      </c>
      <c r="C44" s="28" t="s">
        <v>380</v>
      </c>
      <c r="D44" s="75">
        <v>-160</v>
      </c>
      <c r="E44" s="28"/>
      <c r="F44" s="57"/>
      <c r="G44" s="76" t="s">
        <v>802</v>
      </c>
      <c r="H44" s="77" t="str">
        <f>VLOOKUP(B44,考勤!C:E,3,0)</f>
        <v>创想悦动</v>
      </c>
      <c r="I44" s="77" t="str">
        <f>VLOOKUP(B44,考勤!C:F,2,0)</f>
        <v>张慧翊</v>
      </c>
      <c r="J44" s="78">
        <f t="shared" si="0"/>
        <v>1</v>
      </c>
      <c r="K44" s="78">
        <f t="shared" si="1"/>
        <v>1</v>
      </c>
      <c r="L44" s="34" t="b">
        <f>VLOOKUP(B44,工资表明细!$C$2:$D$352,2,0)=C44</f>
        <v>1</v>
      </c>
      <c r="M44" s="31">
        <f>VLOOKUP(B44,工资表明细!$C$2:$I$352,7,0)</f>
        <v>0</v>
      </c>
      <c r="N44" s="79"/>
      <c r="R44" s="6"/>
      <c r="S44" s="3"/>
    </row>
    <row r="45" ht="16.5" spans="1:19">
      <c r="A45" s="26">
        <v>38</v>
      </c>
      <c r="B45" s="28" t="s">
        <v>384</v>
      </c>
      <c r="C45" s="28" t="s">
        <v>385</v>
      </c>
      <c r="D45" s="75">
        <v>-160</v>
      </c>
      <c r="E45" s="28"/>
      <c r="F45" s="57"/>
      <c r="G45" s="76" t="s">
        <v>802</v>
      </c>
      <c r="H45" s="77" t="str">
        <f>VLOOKUP(B45,考勤!C:E,3,0)</f>
        <v>创想悦动</v>
      </c>
      <c r="I45" s="77" t="str">
        <f>VLOOKUP(B45,考勤!C:F,2,0)</f>
        <v>刘玉娴</v>
      </c>
      <c r="J45" s="78">
        <f t="shared" si="0"/>
        <v>1</v>
      </c>
      <c r="K45" s="78">
        <f t="shared" si="1"/>
        <v>1</v>
      </c>
      <c r="L45" s="34" t="b">
        <f>VLOOKUP(B45,工资表明细!$C$2:$D$352,2,0)=C45</f>
        <v>1</v>
      </c>
      <c r="M45" s="31">
        <f>VLOOKUP(B45,工资表明细!$C$2:$I$352,7,0)</f>
        <v>0</v>
      </c>
      <c r="N45" s="79"/>
      <c r="R45" s="6"/>
      <c r="S45" s="3"/>
    </row>
    <row r="46" ht="16.5" spans="1:19">
      <c r="A46" s="26">
        <v>39</v>
      </c>
      <c r="B46" s="28" t="s">
        <v>374</v>
      </c>
      <c r="C46" s="28" t="s">
        <v>375</v>
      </c>
      <c r="D46" s="75">
        <v>-160</v>
      </c>
      <c r="E46" s="28"/>
      <c r="F46" s="57"/>
      <c r="G46" s="76" t="s">
        <v>802</v>
      </c>
      <c r="H46" s="77" t="str">
        <f>VLOOKUP(B46,考勤!C:E,3,0)</f>
        <v>创想悦动</v>
      </c>
      <c r="I46" s="77" t="str">
        <f>VLOOKUP(B46,考勤!C:F,2,0)</f>
        <v>梁浩明</v>
      </c>
      <c r="J46" s="78">
        <f t="shared" si="0"/>
        <v>1</v>
      </c>
      <c r="K46" s="78">
        <f t="shared" si="1"/>
        <v>1</v>
      </c>
      <c r="L46" s="34" t="b">
        <f>VLOOKUP(B46,工资表明细!$C$2:$D$352,2,0)=C46</f>
        <v>1</v>
      </c>
      <c r="M46" s="31">
        <f>VLOOKUP(B46,工资表明细!$C$2:$I$352,7,0)</f>
        <v>0</v>
      </c>
      <c r="N46" s="79"/>
      <c r="R46" s="6"/>
      <c r="S46" s="3"/>
    </row>
    <row r="47" ht="16.5" spans="1:19">
      <c r="A47" s="26">
        <v>40</v>
      </c>
      <c r="B47" s="28" t="s">
        <v>398</v>
      </c>
      <c r="C47" s="28" t="s">
        <v>399</v>
      </c>
      <c r="D47" s="75">
        <v>-160</v>
      </c>
      <c r="E47" s="28"/>
      <c r="F47" s="57"/>
      <c r="G47" s="76" t="s">
        <v>802</v>
      </c>
      <c r="H47" s="77" t="str">
        <f>VLOOKUP(B47,考勤!C:E,3,0)</f>
        <v>创想悦动</v>
      </c>
      <c r="I47" s="77" t="str">
        <f>VLOOKUP(B47,考勤!C:F,2,0)</f>
        <v>王凡</v>
      </c>
      <c r="J47" s="78">
        <f t="shared" si="0"/>
        <v>1</v>
      </c>
      <c r="K47" s="78">
        <f t="shared" si="1"/>
        <v>1</v>
      </c>
      <c r="L47" s="34" t="b">
        <f>VLOOKUP(B47,工资表明细!$C$2:$D$352,2,0)=C47</f>
        <v>1</v>
      </c>
      <c r="M47" s="31">
        <f>VLOOKUP(B47,工资表明细!$C$2:$I$352,7,0)</f>
        <v>0</v>
      </c>
      <c r="N47" s="79"/>
      <c r="R47" s="6"/>
      <c r="S47" s="3"/>
    </row>
    <row r="48" ht="16.5" spans="1:19">
      <c r="A48" s="26">
        <v>41</v>
      </c>
      <c r="B48" s="28" t="s">
        <v>393</v>
      </c>
      <c r="C48" s="28" t="s">
        <v>394</v>
      </c>
      <c r="D48" s="75">
        <v>-240</v>
      </c>
      <c r="E48" s="28"/>
      <c r="F48" s="57"/>
      <c r="G48" s="76" t="s">
        <v>802</v>
      </c>
      <c r="H48" s="77" t="str">
        <f>VLOOKUP(B48,考勤!C:E,3,0)</f>
        <v>创想悦动</v>
      </c>
      <c r="I48" s="77" t="str">
        <f>VLOOKUP(B48,考勤!C:F,2,0)</f>
        <v>刘婷</v>
      </c>
      <c r="J48" s="78">
        <f t="shared" si="0"/>
        <v>1</v>
      </c>
      <c r="K48" s="78">
        <f t="shared" si="1"/>
        <v>1</v>
      </c>
      <c r="L48" s="34" t="b">
        <f>VLOOKUP(B48,工资表明细!$C$2:$D$352,2,0)=C48</f>
        <v>1</v>
      </c>
      <c r="M48" s="31">
        <f>VLOOKUP(B48,工资表明细!$C$2:$I$352,7,0)</f>
        <v>0</v>
      </c>
      <c r="N48" s="79"/>
      <c r="R48" s="6"/>
      <c r="S48" s="3"/>
    </row>
    <row r="49" ht="16.5" spans="1:19">
      <c r="A49" s="26">
        <v>42</v>
      </c>
      <c r="B49" s="28" t="s">
        <v>402</v>
      </c>
      <c r="C49" s="28" t="s">
        <v>403</v>
      </c>
      <c r="D49" s="75">
        <v>-160</v>
      </c>
      <c r="E49" s="28"/>
      <c r="F49" s="57"/>
      <c r="G49" s="76" t="s">
        <v>802</v>
      </c>
      <c r="H49" s="77" t="str">
        <f>VLOOKUP(B49,考勤!C:E,3,0)</f>
        <v>创想悦动</v>
      </c>
      <c r="I49" s="77" t="str">
        <f>VLOOKUP(B49,考勤!C:F,2,0)</f>
        <v>潘瑜</v>
      </c>
      <c r="J49" s="78">
        <f t="shared" si="0"/>
        <v>1</v>
      </c>
      <c r="K49" s="78">
        <f t="shared" si="1"/>
        <v>1</v>
      </c>
      <c r="L49" s="34" t="b">
        <f>VLOOKUP(B49,工资表明细!$C$2:$D$352,2,0)=C49</f>
        <v>1</v>
      </c>
      <c r="M49" s="31">
        <f>VLOOKUP(B49,工资表明细!$C$2:$I$352,7,0)</f>
        <v>0</v>
      </c>
      <c r="N49" s="79"/>
      <c r="R49" s="6"/>
      <c r="S49" s="3"/>
    </row>
    <row r="50" ht="16.5" spans="1:19">
      <c r="A50" s="26">
        <v>43</v>
      </c>
      <c r="B50" s="28" t="s">
        <v>406</v>
      </c>
      <c r="C50" s="28" t="s">
        <v>407</v>
      </c>
      <c r="D50" s="75">
        <v>-160</v>
      </c>
      <c r="E50" s="28"/>
      <c r="F50" s="57"/>
      <c r="G50" s="76" t="s">
        <v>802</v>
      </c>
      <c r="H50" s="77" t="str">
        <f>VLOOKUP(B50,考勤!C:E,3,0)</f>
        <v>创想悦动</v>
      </c>
      <c r="I50" s="77" t="str">
        <f>VLOOKUP(B50,考勤!C:F,2,0)</f>
        <v>申舒婷</v>
      </c>
      <c r="J50" s="78">
        <f t="shared" si="0"/>
        <v>1</v>
      </c>
      <c r="K50" s="78">
        <f t="shared" si="1"/>
        <v>1</v>
      </c>
      <c r="L50" s="34" t="b">
        <f>VLOOKUP(B50,工资表明细!$C$2:$D$352,2,0)=C50</f>
        <v>1</v>
      </c>
      <c r="M50" s="31">
        <f>VLOOKUP(B50,工资表明细!$C$2:$I$352,7,0)</f>
        <v>0</v>
      </c>
      <c r="N50" s="79"/>
      <c r="R50" s="6"/>
      <c r="S50" s="3"/>
    </row>
    <row r="51" ht="16.5" spans="1:19">
      <c r="A51" s="26">
        <v>44</v>
      </c>
      <c r="B51" s="28" t="s">
        <v>411</v>
      </c>
      <c r="C51" s="28" t="s">
        <v>412</v>
      </c>
      <c r="D51" s="75">
        <v>-160</v>
      </c>
      <c r="E51" s="28"/>
      <c r="F51" s="57"/>
      <c r="G51" s="76" t="s">
        <v>802</v>
      </c>
      <c r="H51" s="77" t="str">
        <f>VLOOKUP(B51,考勤!C:E,3,0)</f>
        <v>创想悦动</v>
      </c>
      <c r="I51" s="77" t="str">
        <f>VLOOKUP(B51,考勤!C:F,2,0)</f>
        <v>刘临风</v>
      </c>
      <c r="J51" s="78">
        <f t="shared" si="0"/>
        <v>1</v>
      </c>
      <c r="K51" s="78">
        <f t="shared" si="1"/>
        <v>1</v>
      </c>
      <c r="L51" s="34" t="b">
        <f>VLOOKUP(B51,工资表明细!$C$2:$D$352,2,0)=C51</f>
        <v>1</v>
      </c>
      <c r="M51" s="31">
        <f>VLOOKUP(B51,工资表明细!$C$2:$I$352,7,0)</f>
        <v>0</v>
      </c>
      <c r="N51" s="79"/>
      <c r="R51" s="6"/>
      <c r="S51" s="3"/>
    </row>
    <row r="52" ht="16.5" spans="1:19">
      <c r="A52" s="26">
        <v>45</v>
      </c>
      <c r="B52" s="28" t="s">
        <v>435</v>
      </c>
      <c r="C52" s="28" t="s">
        <v>436</v>
      </c>
      <c r="D52" s="75">
        <v>-160</v>
      </c>
      <c r="E52" s="28"/>
      <c r="F52" s="57"/>
      <c r="G52" s="76" t="s">
        <v>802</v>
      </c>
      <c r="H52" s="77" t="str">
        <f>VLOOKUP(B52,考勤!C:E,3,0)</f>
        <v>创想悦动</v>
      </c>
      <c r="I52" s="77" t="str">
        <f>VLOOKUP(B52,考勤!C:F,2,0)</f>
        <v>彭佳睿</v>
      </c>
      <c r="J52" s="78">
        <f t="shared" si="0"/>
        <v>1</v>
      </c>
      <c r="K52" s="78">
        <f t="shared" si="1"/>
        <v>1</v>
      </c>
      <c r="L52" s="34" t="b">
        <f>VLOOKUP(B52,工资表明细!$C$2:$D$352,2,0)=C52</f>
        <v>1</v>
      </c>
      <c r="M52" s="31">
        <f>VLOOKUP(B52,工资表明细!$C$2:$I$352,7,0)</f>
        <v>0</v>
      </c>
      <c r="N52" s="79"/>
      <c r="R52" s="6"/>
      <c r="S52" s="3"/>
    </row>
    <row r="53" ht="16.5" spans="1:19">
      <c r="A53" s="26">
        <v>46</v>
      </c>
      <c r="B53" s="28" t="s">
        <v>440</v>
      </c>
      <c r="C53" s="28" t="s">
        <v>441</v>
      </c>
      <c r="D53" s="75">
        <v>-160</v>
      </c>
      <c r="E53" s="28"/>
      <c r="F53" s="57"/>
      <c r="G53" s="76" t="s">
        <v>802</v>
      </c>
      <c r="H53" s="77" t="str">
        <f>VLOOKUP(B53,考勤!C:E,3,0)</f>
        <v>创想悦动</v>
      </c>
      <c r="I53" s="77" t="str">
        <f>VLOOKUP(B53,考勤!C:F,2,0)</f>
        <v>赵敬亭</v>
      </c>
      <c r="J53" s="78">
        <f t="shared" si="0"/>
        <v>1</v>
      </c>
      <c r="K53" s="78">
        <f t="shared" si="1"/>
        <v>1</v>
      </c>
      <c r="L53" s="34" t="b">
        <f>VLOOKUP(B53,工资表明细!$C$2:$D$352,2,0)=C53</f>
        <v>1</v>
      </c>
      <c r="M53" s="31">
        <f>VLOOKUP(B53,工资表明细!$C$2:$I$352,7,0)</f>
        <v>0</v>
      </c>
      <c r="N53" s="79"/>
      <c r="R53" s="6"/>
      <c r="S53" s="3"/>
    </row>
    <row r="54" ht="16.5" spans="1:19">
      <c r="A54" s="26">
        <v>47</v>
      </c>
      <c r="B54" s="28" t="s">
        <v>430</v>
      </c>
      <c r="C54" s="28" t="s">
        <v>431</v>
      </c>
      <c r="D54" s="75">
        <v>-160</v>
      </c>
      <c r="E54" s="28"/>
      <c r="F54" s="57"/>
      <c r="G54" s="76" t="s">
        <v>802</v>
      </c>
      <c r="H54" s="77" t="str">
        <f>VLOOKUP(B54,考勤!C:E,3,0)</f>
        <v>创想悦动</v>
      </c>
      <c r="I54" s="77" t="str">
        <f>VLOOKUP(B54,考勤!C:F,2,0)</f>
        <v>陈小玲</v>
      </c>
      <c r="J54" s="78">
        <f t="shared" si="0"/>
        <v>1</v>
      </c>
      <c r="K54" s="78">
        <f t="shared" si="1"/>
        <v>1</v>
      </c>
      <c r="L54" s="34" t="b">
        <f>VLOOKUP(B54,工资表明细!$C$2:$D$352,2,0)=C54</f>
        <v>1</v>
      </c>
      <c r="M54" s="31">
        <f>VLOOKUP(B54,工资表明细!$C$2:$I$352,7,0)</f>
        <v>0</v>
      </c>
      <c r="N54" s="79"/>
      <c r="R54" s="6"/>
      <c r="S54" s="3"/>
    </row>
    <row r="55" ht="16.5" spans="1:19">
      <c r="A55" s="26">
        <v>48</v>
      </c>
      <c r="B55" s="28" t="s">
        <v>455</v>
      </c>
      <c r="C55" s="28" t="s">
        <v>456</v>
      </c>
      <c r="D55" s="75">
        <v>-160</v>
      </c>
      <c r="E55" s="28"/>
      <c r="F55" s="57"/>
      <c r="G55" s="76" t="s">
        <v>802</v>
      </c>
      <c r="H55" s="77" t="str">
        <f>VLOOKUP(B55,考勤!C:E,3,0)</f>
        <v>创想悦动</v>
      </c>
      <c r="I55" s="77" t="str">
        <f>VLOOKUP(B55,考勤!C:F,2,0)</f>
        <v>郑立文</v>
      </c>
      <c r="J55" s="78">
        <f t="shared" si="0"/>
        <v>1</v>
      </c>
      <c r="K55" s="78">
        <f t="shared" si="1"/>
        <v>1</v>
      </c>
      <c r="L55" s="34" t="b">
        <f>VLOOKUP(B55,工资表明细!$C$2:$D$352,2,0)=C55</f>
        <v>1</v>
      </c>
      <c r="M55" s="31">
        <f>VLOOKUP(B55,工资表明细!$C$2:$I$352,7,0)</f>
        <v>0</v>
      </c>
      <c r="N55" s="79"/>
      <c r="R55" s="6"/>
      <c r="S55" s="3"/>
    </row>
    <row r="56" ht="15" customHeight="1" spans="1:19">
      <c r="A56" s="1"/>
      <c r="B56" s="3"/>
      <c r="C56" s="3"/>
      <c r="D56" s="81"/>
      <c r="E56" s="81"/>
      <c r="F56" s="57"/>
      <c r="G56" s="76"/>
      <c r="H56" s="3"/>
      <c r="I56" s="3"/>
      <c r="J56" s="1"/>
      <c r="K56" s="1"/>
      <c r="L56" s="3"/>
      <c r="M56" s="3"/>
      <c r="N56" s="79"/>
      <c r="R56" s="6"/>
      <c r="S56" s="3"/>
    </row>
    <row r="57" ht="16.5" spans="1:19">
      <c r="A57" s="1"/>
      <c r="B57" s="2"/>
      <c r="C57" s="2"/>
      <c r="D57" s="58"/>
      <c r="E57" s="58"/>
      <c r="F57" s="37"/>
      <c r="G57" s="82"/>
      <c r="H57" s="6"/>
      <c r="I57" s="6"/>
      <c r="J57" s="1"/>
      <c r="K57" s="1"/>
      <c r="L57" s="6"/>
      <c r="M57" s="5"/>
      <c r="N57" s="66"/>
      <c r="R57" s="6"/>
      <c r="S57" s="3"/>
    </row>
    <row r="58" ht="16.5" spans="1:19">
      <c r="A58" s="1"/>
      <c r="B58" s="2"/>
      <c r="C58" s="2"/>
      <c r="D58" s="58"/>
      <c r="E58" s="58"/>
      <c r="F58" s="1"/>
      <c r="G58" s="82"/>
      <c r="H58" s="6"/>
      <c r="I58" s="6"/>
      <c r="J58" s="1"/>
      <c r="K58" s="1"/>
      <c r="L58" s="6"/>
      <c r="M58" s="5"/>
      <c r="N58" s="66"/>
      <c r="R58" s="6"/>
      <c r="S58" s="3"/>
    </row>
    <row r="59" ht="16.5" spans="1:19">
      <c r="A59" s="1"/>
      <c r="B59" s="2"/>
      <c r="C59" s="3" t="s">
        <v>48</v>
      </c>
      <c r="D59" s="81">
        <f>SUM(D2:D58)</f>
        <v>-699.99</v>
      </c>
      <c r="E59" s="81">
        <f>SUM(E2:E58)</f>
        <v>0</v>
      </c>
      <c r="F59" s="37"/>
      <c r="G59" s="82"/>
      <c r="H59" s="6"/>
      <c r="I59" s="6"/>
      <c r="J59" s="1"/>
      <c r="K59" s="1"/>
      <c r="L59" s="6"/>
      <c r="M59" s="5"/>
      <c r="N59" s="66"/>
      <c r="R59" s="6"/>
      <c r="S59" s="3"/>
    </row>
    <row r="60" ht="16.5" spans="1:19">
      <c r="A60" s="78"/>
      <c r="B60" s="83"/>
      <c r="C60" s="3" t="s">
        <v>783</v>
      </c>
      <c r="D60" s="81">
        <f>D59-工资表明细!AJ83</f>
        <v>0</v>
      </c>
      <c r="E60" s="81">
        <f>E59-工资表明细!AG83</f>
        <v>0</v>
      </c>
      <c r="F60" s="1"/>
      <c r="G60" s="84"/>
      <c r="H60" s="6"/>
      <c r="I60" s="6"/>
      <c r="J60" s="1"/>
      <c r="K60" s="1"/>
      <c r="L60" s="6"/>
      <c r="M60" s="5"/>
      <c r="N60" s="66"/>
      <c r="R60" s="6"/>
      <c r="S60" s="3"/>
    </row>
    <row r="61" ht="16.5" spans="1:19">
      <c r="A61" s="78"/>
      <c r="B61" s="83"/>
      <c r="C61" s="2"/>
      <c r="D61" s="81"/>
      <c r="E61" s="81"/>
      <c r="F61" s="1"/>
      <c r="G61" s="84"/>
      <c r="H61" s="6"/>
      <c r="I61" s="6"/>
      <c r="J61" s="1"/>
      <c r="K61" s="1"/>
      <c r="L61" s="6"/>
      <c r="M61" s="5"/>
      <c r="N61" s="66"/>
      <c r="R61" s="6"/>
      <c r="S61" s="3"/>
    </row>
    <row r="62" ht="16.5" spans="1:19">
      <c r="A62" s="1"/>
      <c r="B62" s="2"/>
      <c r="C62" s="2"/>
      <c r="D62" s="81"/>
      <c r="E62" s="81"/>
      <c r="F62" s="1"/>
      <c r="G62" s="84"/>
      <c r="H62" s="6"/>
      <c r="I62" s="6"/>
      <c r="J62" s="1"/>
      <c r="K62" s="1"/>
      <c r="L62" s="6"/>
      <c r="M62" s="5"/>
      <c r="N62" s="66"/>
      <c r="R62" s="6"/>
      <c r="S62" s="3"/>
    </row>
    <row r="63" ht="16.5" spans="1:19">
      <c r="A63" s="1"/>
      <c r="B63" s="2"/>
      <c r="C63" s="2"/>
      <c r="D63" s="58"/>
      <c r="E63" s="58"/>
      <c r="F63" s="1"/>
      <c r="G63" s="82"/>
      <c r="H63" s="6"/>
      <c r="I63" s="6"/>
      <c r="J63" s="1"/>
      <c r="K63" s="1"/>
      <c r="L63" s="6"/>
      <c r="M63" s="5"/>
      <c r="N63" s="66"/>
      <c r="R63" s="6"/>
      <c r="S63" s="3"/>
    </row>
    <row r="64" ht="16.5" spans="1:19">
      <c r="A64" s="1"/>
      <c r="B64" s="2"/>
      <c r="C64" s="2"/>
      <c r="D64" s="58"/>
      <c r="E64" s="58"/>
      <c r="F64" s="1"/>
      <c r="G64" s="82"/>
      <c r="H64" s="6"/>
      <c r="I64" s="6"/>
      <c r="J64" s="1"/>
      <c r="K64" s="1"/>
      <c r="L64" s="6"/>
      <c r="M64" s="5"/>
      <c r="N64" s="66"/>
      <c r="R64" s="6"/>
      <c r="S64" s="3"/>
    </row>
    <row r="65" ht="16.5" spans="1:19">
      <c r="A65" s="1"/>
      <c r="B65" s="2"/>
      <c r="C65" s="2"/>
      <c r="D65" s="58"/>
      <c r="E65" s="58"/>
      <c r="F65" s="1"/>
      <c r="G65" s="82"/>
      <c r="H65" s="6"/>
      <c r="I65" s="6"/>
      <c r="J65" s="1"/>
      <c r="K65" s="1"/>
      <c r="L65" s="6"/>
      <c r="M65" s="5"/>
      <c r="N65" s="66"/>
      <c r="R65" s="6"/>
      <c r="S65" s="3"/>
    </row>
    <row r="66" ht="16.5" spans="1:19">
      <c r="A66" s="1"/>
      <c r="B66" s="2"/>
      <c r="C66" s="2"/>
      <c r="D66" s="58"/>
      <c r="E66" s="58"/>
      <c r="F66" s="1"/>
      <c r="G66" s="82"/>
      <c r="H66" s="6"/>
      <c r="I66" s="6"/>
      <c r="J66" s="1"/>
      <c r="K66" s="1"/>
      <c r="L66" s="6"/>
      <c r="M66" s="5"/>
      <c r="N66" s="66"/>
      <c r="R66" s="6"/>
      <c r="S66" s="3"/>
    </row>
    <row r="67" ht="16.5" spans="1:19">
      <c r="A67" s="1"/>
      <c r="B67" s="2"/>
      <c r="C67" s="2"/>
      <c r="D67" s="58"/>
      <c r="E67" s="58"/>
      <c r="F67" s="1"/>
      <c r="G67" s="82"/>
      <c r="H67" s="6"/>
      <c r="I67" s="6"/>
      <c r="J67" s="1"/>
      <c r="K67" s="1"/>
      <c r="L67" s="6"/>
      <c r="M67" s="5"/>
      <c r="N67" s="66"/>
      <c r="R67" s="6"/>
      <c r="S67" s="3"/>
    </row>
    <row r="68" ht="16.5" spans="1:19">
      <c r="A68" s="1"/>
      <c r="B68" s="2"/>
      <c r="C68" s="2"/>
      <c r="D68" s="58"/>
      <c r="E68" s="58"/>
      <c r="F68" s="1"/>
      <c r="G68" s="82"/>
      <c r="H68" s="6"/>
      <c r="I68" s="6"/>
      <c r="J68" s="1"/>
      <c r="K68" s="1"/>
      <c r="L68" s="6"/>
      <c r="M68" s="5"/>
      <c r="N68" s="66"/>
      <c r="R68" s="6"/>
      <c r="S68" s="3"/>
    </row>
    <row r="69" ht="16.5" spans="1:19">
      <c r="A69" s="1"/>
      <c r="B69" s="2"/>
      <c r="C69" s="2"/>
      <c r="D69" s="58"/>
      <c r="E69" s="58"/>
      <c r="F69" s="1"/>
      <c r="G69" s="82"/>
      <c r="H69" s="6"/>
      <c r="I69" s="6"/>
      <c r="J69" s="1"/>
      <c r="K69" s="1"/>
      <c r="L69" s="6"/>
      <c r="M69" s="5"/>
      <c r="N69" s="66"/>
      <c r="R69" s="6"/>
      <c r="S69" s="3"/>
    </row>
    <row r="70" ht="16.5" spans="1:19">
      <c r="A70" s="1"/>
      <c r="B70" s="2"/>
      <c r="C70" s="2"/>
      <c r="D70" s="58"/>
      <c r="E70" s="58"/>
      <c r="F70" s="1"/>
      <c r="G70" s="82"/>
      <c r="H70" s="6"/>
      <c r="I70" s="6"/>
      <c r="J70" s="1"/>
      <c r="K70" s="1"/>
      <c r="L70" s="6"/>
      <c r="M70" s="5"/>
      <c r="N70" s="66"/>
      <c r="R70" s="6"/>
      <c r="S70" s="3"/>
    </row>
    <row r="71" ht="16.5" spans="1:19">
      <c r="A71" s="1"/>
      <c r="B71" s="2"/>
      <c r="C71" s="2"/>
      <c r="D71" s="58"/>
      <c r="E71" s="58"/>
      <c r="F71" s="1"/>
      <c r="G71" s="82"/>
      <c r="H71" s="6"/>
      <c r="I71" s="6"/>
      <c r="J71" s="1"/>
      <c r="K71" s="1"/>
      <c r="L71" s="6"/>
      <c r="M71" s="5"/>
      <c r="N71" s="66"/>
      <c r="R71" s="6"/>
      <c r="S71" s="3"/>
    </row>
    <row r="72" ht="16.5" spans="1:19">
      <c r="A72" s="1"/>
      <c r="B72" s="2"/>
      <c r="C72" s="2"/>
      <c r="D72" s="58"/>
      <c r="E72" s="58"/>
      <c r="F72" s="1"/>
      <c r="G72" s="82"/>
      <c r="H72" s="6"/>
      <c r="I72" s="6"/>
      <c r="J72" s="1"/>
      <c r="K72" s="1"/>
      <c r="L72" s="6"/>
      <c r="M72" s="5"/>
      <c r="N72" s="66"/>
      <c r="R72" s="6"/>
      <c r="S72" s="3"/>
    </row>
    <row r="73" ht="16.5" spans="1:19">
      <c r="A73" s="1"/>
      <c r="B73" s="2"/>
      <c r="C73" s="2"/>
      <c r="D73" s="58"/>
      <c r="E73" s="58"/>
      <c r="F73" s="1"/>
      <c r="G73" s="82"/>
      <c r="H73" s="6"/>
      <c r="I73" s="6"/>
      <c r="J73" s="1"/>
      <c r="K73" s="1"/>
      <c r="L73" s="6"/>
      <c r="M73" s="5"/>
      <c r="N73" s="66"/>
      <c r="R73" s="6"/>
      <c r="S73" s="3"/>
    </row>
    <row r="74" ht="16.5" spans="1:19">
      <c r="A74" s="1"/>
      <c r="B74" s="2"/>
      <c r="C74" s="2"/>
      <c r="D74" s="58"/>
      <c r="E74" s="58"/>
      <c r="F74" s="1"/>
      <c r="G74" s="82"/>
      <c r="H74" s="6"/>
      <c r="I74" s="6"/>
      <c r="J74" s="1"/>
      <c r="K74" s="1"/>
      <c r="L74" s="6"/>
      <c r="M74" s="5"/>
      <c r="N74" s="66"/>
      <c r="R74" s="6"/>
      <c r="S74" s="3"/>
    </row>
    <row r="75" ht="16.5" spans="1:19">
      <c r="A75" s="1"/>
      <c r="B75" s="2"/>
      <c r="C75" s="2"/>
      <c r="D75" s="58"/>
      <c r="E75" s="58"/>
      <c r="F75" s="1"/>
      <c r="G75" s="82"/>
      <c r="H75" s="6"/>
      <c r="I75" s="6"/>
      <c r="J75" s="1"/>
      <c r="K75" s="1"/>
      <c r="L75" s="6"/>
      <c r="M75" s="5"/>
      <c r="N75" s="66"/>
      <c r="R75" s="6"/>
      <c r="S75" s="3"/>
    </row>
    <row r="76" ht="16.5" spans="1:19">
      <c r="A76" s="1"/>
      <c r="B76" s="2"/>
      <c r="C76" s="2"/>
      <c r="D76" s="58"/>
      <c r="E76" s="58"/>
      <c r="F76" s="1"/>
      <c r="G76" s="82"/>
      <c r="H76" s="6"/>
      <c r="I76" s="6"/>
      <c r="J76" s="1"/>
      <c r="K76" s="1"/>
      <c r="L76" s="6"/>
      <c r="M76" s="5"/>
      <c r="N76" s="66"/>
      <c r="R76" s="6"/>
      <c r="S76" s="3"/>
    </row>
    <row r="77" ht="16.5" spans="1:19">
      <c r="A77" s="1"/>
      <c r="B77" s="2"/>
      <c r="C77" s="2"/>
      <c r="D77" s="58"/>
      <c r="E77" s="58"/>
      <c r="F77" s="1"/>
      <c r="G77" s="82"/>
      <c r="H77" s="6"/>
      <c r="I77" s="6"/>
      <c r="J77" s="1"/>
      <c r="K77" s="1"/>
      <c r="L77" s="6"/>
      <c r="M77" s="5"/>
      <c r="N77" s="66"/>
      <c r="R77" s="6"/>
      <c r="S77" s="3"/>
    </row>
    <row r="78" ht="16.5" spans="1:19">
      <c r="A78" s="1"/>
      <c r="B78" s="2"/>
      <c r="C78" s="2"/>
      <c r="D78" s="58"/>
      <c r="E78" s="58"/>
      <c r="F78" s="1"/>
      <c r="G78" s="82"/>
      <c r="H78" s="6"/>
      <c r="I78" s="6"/>
      <c r="J78" s="1"/>
      <c r="K78" s="1"/>
      <c r="L78" s="6"/>
      <c r="M78" s="5"/>
      <c r="N78" s="66"/>
      <c r="R78" s="6"/>
      <c r="S78" s="3"/>
    </row>
    <row r="79" ht="16.5" spans="1:19">
      <c r="A79" s="1"/>
      <c r="B79" s="2"/>
      <c r="C79" s="2"/>
      <c r="D79" s="58"/>
      <c r="E79" s="58"/>
      <c r="F79" s="1"/>
      <c r="G79" s="82"/>
      <c r="H79" s="6"/>
      <c r="I79" s="6"/>
      <c r="J79" s="1"/>
      <c r="K79" s="1"/>
      <c r="L79" s="6"/>
      <c r="M79" s="5"/>
      <c r="N79" s="66"/>
      <c r="R79" s="6"/>
      <c r="S79" s="3"/>
    </row>
    <row r="80" ht="16.5" spans="1:19">
      <c r="A80" s="1"/>
      <c r="B80" s="2"/>
      <c r="C80" s="2"/>
      <c r="D80" s="58"/>
      <c r="E80" s="58"/>
      <c r="F80" s="1"/>
      <c r="G80" s="82"/>
      <c r="H80" s="6"/>
      <c r="I80" s="6"/>
      <c r="J80" s="1"/>
      <c r="K80" s="1"/>
      <c r="L80" s="6"/>
      <c r="M80" s="5"/>
      <c r="N80" s="66"/>
      <c r="R80" s="6"/>
      <c r="S80" s="3"/>
    </row>
    <row r="81" ht="16.5" spans="1:19">
      <c r="A81" s="1"/>
      <c r="B81" s="2"/>
      <c r="C81" s="2"/>
      <c r="D81" s="58"/>
      <c r="E81" s="58"/>
      <c r="F81" s="1"/>
      <c r="G81" s="82"/>
      <c r="H81" s="6"/>
      <c r="I81" s="6"/>
      <c r="J81" s="1"/>
      <c r="K81" s="1"/>
      <c r="L81" s="6"/>
      <c r="M81" s="5"/>
      <c r="N81" s="66"/>
      <c r="R81" s="6"/>
      <c r="S81" s="3"/>
    </row>
    <row r="82" ht="16.5" spans="1:19">
      <c r="A82" s="1"/>
      <c r="B82" s="2"/>
      <c r="C82" s="2"/>
      <c r="D82" s="58"/>
      <c r="E82" s="58"/>
      <c r="F82" s="1"/>
      <c r="G82" s="82"/>
      <c r="H82" s="6"/>
      <c r="I82" s="6"/>
      <c r="J82" s="1"/>
      <c r="K82" s="1"/>
      <c r="L82" s="6"/>
      <c r="M82" s="5"/>
      <c r="N82" s="66"/>
      <c r="R82" s="6"/>
      <c r="S82" s="3"/>
    </row>
    <row r="83" ht="16.5" spans="1:19">
      <c r="A83" s="1"/>
      <c r="B83" s="2"/>
      <c r="C83" s="2"/>
      <c r="D83" s="58"/>
      <c r="E83" s="58"/>
      <c r="F83" s="1"/>
      <c r="G83" s="82"/>
      <c r="H83" s="6"/>
      <c r="I83" s="6"/>
      <c r="J83" s="1"/>
      <c r="K83" s="1"/>
      <c r="L83" s="6"/>
      <c r="M83" s="5"/>
      <c r="N83" s="66"/>
      <c r="R83" s="6"/>
      <c r="S83" s="3"/>
    </row>
    <row r="84" ht="16.5" spans="1:19">
      <c r="A84" s="1"/>
      <c r="B84" s="2"/>
      <c r="C84" s="2"/>
      <c r="D84" s="58"/>
      <c r="E84" s="58"/>
      <c r="F84" s="1"/>
      <c r="G84" s="82"/>
      <c r="H84" s="6"/>
      <c r="I84" s="6"/>
      <c r="J84" s="1"/>
      <c r="K84" s="1"/>
      <c r="L84" s="6"/>
      <c r="M84" s="5"/>
      <c r="N84" s="66"/>
      <c r="R84" s="6"/>
      <c r="S84" s="3"/>
    </row>
    <row r="85" ht="16.5" spans="1:19">
      <c r="A85" s="1"/>
      <c r="B85" s="2"/>
      <c r="C85" s="2"/>
      <c r="D85" s="58"/>
      <c r="E85" s="58"/>
      <c r="F85" s="1"/>
      <c r="G85" s="82"/>
      <c r="H85" s="6"/>
      <c r="I85" s="6"/>
      <c r="J85" s="1"/>
      <c r="K85" s="1"/>
      <c r="L85" s="6"/>
      <c r="M85" s="5"/>
      <c r="N85" s="66"/>
      <c r="R85" s="6"/>
      <c r="S85" s="3"/>
    </row>
    <row r="86" ht="16.5" spans="1:19">
      <c r="A86" s="1"/>
      <c r="B86" s="2"/>
      <c r="C86" s="2"/>
      <c r="D86" s="58"/>
      <c r="E86" s="58"/>
      <c r="F86" s="1"/>
      <c r="G86" s="82"/>
      <c r="H86" s="6"/>
      <c r="I86" s="6"/>
      <c r="J86" s="1"/>
      <c r="K86" s="1"/>
      <c r="L86" s="6"/>
      <c r="M86" s="5"/>
      <c r="N86" s="66"/>
      <c r="R86" s="6"/>
      <c r="S86" s="3"/>
    </row>
    <row r="87" ht="16.5" spans="1:19">
      <c r="A87" s="1"/>
      <c r="B87" s="2"/>
      <c r="C87" s="2"/>
      <c r="D87" s="58"/>
      <c r="E87" s="58"/>
      <c r="F87" s="1"/>
      <c r="G87" s="82"/>
      <c r="H87" s="6"/>
      <c r="I87" s="6"/>
      <c r="J87" s="1"/>
      <c r="K87" s="1"/>
      <c r="L87" s="6"/>
      <c r="M87" s="5"/>
      <c r="N87" s="66"/>
      <c r="R87" s="6"/>
      <c r="S87" s="3"/>
    </row>
    <row r="88" ht="16.5" spans="1:19">
      <c r="A88" s="1"/>
      <c r="B88" s="2"/>
      <c r="C88" s="2"/>
      <c r="D88" s="58"/>
      <c r="E88" s="58"/>
      <c r="F88" s="1"/>
      <c r="G88" s="82"/>
      <c r="H88" s="6"/>
      <c r="I88" s="6"/>
      <c r="J88" s="1"/>
      <c r="K88" s="1"/>
      <c r="L88" s="6"/>
      <c r="M88" s="5"/>
      <c r="N88" s="66"/>
      <c r="R88" s="6"/>
      <c r="S88" s="3"/>
    </row>
    <row r="89" ht="16.5" spans="1:19">
      <c r="A89" s="1"/>
      <c r="B89" s="2"/>
      <c r="C89" s="2"/>
      <c r="D89" s="58"/>
      <c r="E89" s="58"/>
      <c r="F89" s="1"/>
      <c r="G89" s="82"/>
      <c r="H89" s="6"/>
      <c r="I89" s="6"/>
      <c r="J89" s="1"/>
      <c r="K89" s="1"/>
      <c r="L89" s="6"/>
      <c r="M89" s="5"/>
      <c r="N89" s="66"/>
      <c r="R89" s="6"/>
      <c r="S89" s="3"/>
    </row>
    <row r="90" ht="16.5" spans="1:19">
      <c r="A90" s="1"/>
      <c r="B90" s="2"/>
      <c r="C90" s="2"/>
      <c r="D90" s="58"/>
      <c r="E90" s="58"/>
      <c r="F90" s="1"/>
      <c r="G90" s="82"/>
      <c r="H90" s="6"/>
      <c r="I90" s="6"/>
      <c r="J90" s="1"/>
      <c r="K90" s="1"/>
      <c r="L90" s="6"/>
      <c r="M90" s="5"/>
      <c r="N90" s="66"/>
      <c r="R90" s="6"/>
      <c r="S90" s="3"/>
    </row>
    <row r="91" ht="16.5" spans="1:19">
      <c r="A91" s="1"/>
      <c r="B91" s="2"/>
      <c r="C91" s="2"/>
      <c r="D91" s="58"/>
      <c r="E91" s="58"/>
      <c r="F91" s="1"/>
      <c r="G91" s="82"/>
      <c r="H91" s="6"/>
      <c r="I91" s="6"/>
      <c r="J91" s="1"/>
      <c r="K91" s="1"/>
      <c r="L91" s="6"/>
      <c r="M91" s="5"/>
      <c r="N91" s="66"/>
      <c r="R91" s="6"/>
      <c r="S91" s="3"/>
    </row>
  </sheetData>
  <autoFilter xmlns:etc="http://www.wps.cn/officeDocument/2017/etCustomData" ref="A1:T5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3">
    <tabColor rgb="FF92D050"/>
  </sheetPr>
  <dimension ref="A1:V90"/>
  <sheetViews>
    <sheetView zoomScale="80" zoomScaleNormal="80" workbookViewId="0">
      <pane xSplit="4" ySplit="1" topLeftCell="E2" activePane="bottomRight" state="frozen"/>
      <selection/>
      <selection pane="topRight"/>
      <selection pane="bottomLeft"/>
      <selection pane="bottomRight" activeCell="P15" sqref="P15"/>
    </sheetView>
  </sheetViews>
  <sheetFormatPr defaultColWidth="9" defaultRowHeight="16.5"/>
  <cols>
    <col min="1" max="1" width="6" style="1" customWidth="1"/>
    <col min="2" max="2" width="14.2857142857143" style="6" customWidth="1"/>
    <col min="3" max="3" width="15.1428571428571" style="6" customWidth="1"/>
    <col min="4" max="4" width="23.7142857142857" style="6" customWidth="1"/>
    <col min="5" max="5" width="13.5714285714286" style="3" customWidth="1"/>
    <col min="6" max="6" width="14.8571428571429" style="3" customWidth="1"/>
    <col min="7" max="7" width="17.4285714285714" style="3" customWidth="1"/>
    <col min="8" max="8" width="15.1428571428571" style="3" customWidth="1"/>
    <col min="9" max="9" width="17.8571428571429" style="3" customWidth="1"/>
    <col min="10" max="10" width="13.2857142857143" style="3" customWidth="1"/>
    <col min="11" max="11" width="13.8571428571429" style="3" customWidth="1"/>
    <col min="12" max="12" width="25.5714285714286" style="6" customWidth="1"/>
    <col min="13" max="14" width="12.5714285714286" style="6" customWidth="1"/>
    <col min="15" max="15" width="9.28571428571429" style="3" customWidth="1"/>
    <col min="16" max="16" width="15.4285714285714" style="3" customWidth="1"/>
    <col min="17" max="17" width="13.1428571428571" style="3" customWidth="1"/>
    <col min="18" max="18" width="12.2857142857143" style="6" customWidth="1"/>
    <col min="19" max="19" width="13.7142857142857" style="5" customWidth="1"/>
    <col min="20" max="20" width="14.4285714285714" style="1"/>
    <col min="21" max="21" width="14.4285714285714" style="6"/>
    <col min="22" max="22" width="9" style="6"/>
    <col min="23" max="33" width="9" style="1"/>
    <col min="34" max="16384" width="9" style="6"/>
  </cols>
  <sheetData>
    <row r="1" ht="24" customHeight="1" spans="1:22">
      <c r="A1" s="30" t="s">
        <v>70</v>
      </c>
      <c r="B1" s="35" t="s">
        <v>803</v>
      </c>
      <c r="C1" s="35" t="s">
        <v>73</v>
      </c>
      <c r="D1" s="35" t="s">
        <v>804</v>
      </c>
      <c r="E1" s="49" t="s">
        <v>805</v>
      </c>
      <c r="F1" s="49" t="s">
        <v>806</v>
      </c>
      <c r="G1" s="49" t="s">
        <v>807</v>
      </c>
      <c r="H1" s="49" t="s">
        <v>808</v>
      </c>
      <c r="I1" s="50" t="s">
        <v>809</v>
      </c>
      <c r="J1" s="50" t="s">
        <v>810</v>
      </c>
      <c r="K1" s="50" t="s">
        <v>811</v>
      </c>
      <c r="L1" s="51" t="s">
        <v>812</v>
      </c>
      <c r="M1" s="51" t="s">
        <v>100</v>
      </c>
      <c r="N1" s="51"/>
      <c r="O1" s="52" t="s">
        <v>783</v>
      </c>
      <c r="P1" s="53" t="s">
        <v>785</v>
      </c>
      <c r="Q1" s="52" t="s">
        <v>813</v>
      </c>
      <c r="R1" s="5" t="s">
        <v>814</v>
      </c>
      <c r="S1" s="5" t="s">
        <v>77</v>
      </c>
      <c r="T1" s="1" t="s">
        <v>581</v>
      </c>
    </row>
    <row r="2" ht="15.95" customHeight="1" spans="1:22">
      <c r="A2" s="30">
        <v>1</v>
      </c>
      <c r="B2" s="54" t="s">
        <v>448</v>
      </c>
      <c r="C2" s="54" t="s">
        <v>446</v>
      </c>
      <c r="D2" s="54" t="s">
        <v>448</v>
      </c>
      <c r="E2" s="42">
        <v>8725</v>
      </c>
      <c r="F2" s="42">
        <v>2550</v>
      </c>
      <c r="G2" s="42">
        <v>6175</v>
      </c>
      <c r="H2" s="42">
        <v>25000</v>
      </c>
      <c r="I2" s="42">
        <v>2000</v>
      </c>
      <c r="J2" s="42">
        <v>500</v>
      </c>
      <c r="K2" s="42">
        <v>50</v>
      </c>
      <c r="L2" s="54" t="s">
        <v>101</v>
      </c>
      <c r="M2" s="33">
        <v>1</v>
      </c>
      <c r="N2" s="34"/>
      <c r="O2" s="36" t="str">
        <f>VLOOKUP(C2,考勤!D:D,1,0)</f>
        <v>丘深壬</v>
      </c>
      <c r="P2" s="55">
        <f>VLOOKUP(D2,工资表明细!$N$2:$AL$223,25,0)</f>
        <v>2000</v>
      </c>
      <c r="Q2" s="36">
        <f t="shared" ref="Q2:Q65" si="0">I2-P2</f>
        <v>0</v>
      </c>
      <c r="R2" s="35" t="s">
        <v>815</v>
      </c>
      <c r="S2" s="56">
        <v>0</v>
      </c>
      <c r="T2" s="1">
        <f>COUNTIF(D:D,D2)</f>
        <v>1</v>
      </c>
      <c r="U2" s="34"/>
      <c r="V2" s="34"/>
    </row>
    <row r="3" ht="15.95" customHeight="1" spans="1:22">
      <c r="A3" s="30">
        <v>2</v>
      </c>
      <c r="B3" s="54" t="s">
        <v>202</v>
      </c>
      <c r="C3" s="54" t="s">
        <v>201</v>
      </c>
      <c r="D3" s="54" t="s">
        <v>202</v>
      </c>
      <c r="E3" s="42">
        <v>4886</v>
      </c>
      <c r="F3" s="42">
        <v>1428</v>
      </c>
      <c r="G3" s="42">
        <v>3458</v>
      </c>
      <c r="H3" s="42">
        <v>14000</v>
      </c>
      <c r="I3" s="42">
        <v>1120</v>
      </c>
      <c r="J3" s="42">
        <v>280</v>
      </c>
      <c r="K3" s="42">
        <v>28</v>
      </c>
      <c r="L3" s="54" t="s">
        <v>101</v>
      </c>
      <c r="M3" s="33">
        <v>1</v>
      </c>
      <c r="N3" s="34"/>
      <c r="O3" s="36" t="str">
        <f>VLOOKUP(C3,考勤!D:D,1,0)</f>
        <v>何泽浩</v>
      </c>
      <c r="P3" s="55">
        <f>VLOOKUP(D3,工资表明细!$N$2:$AL$223,25,0)</f>
        <v>1120</v>
      </c>
      <c r="Q3" s="36">
        <f t="shared" si="0"/>
        <v>0</v>
      </c>
      <c r="R3" s="35" t="s">
        <v>815</v>
      </c>
      <c r="S3" s="56">
        <v>0</v>
      </c>
      <c r="T3" s="1">
        <f t="shared" ref="T2:T65" si="1">COUNTIF(D:D,D3)</f>
        <v>1</v>
      </c>
      <c r="U3" s="34"/>
      <c r="V3" s="34"/>
    </row>
    <row r="4" ht="15.95" customHeight="1" spans="1:22">
      <c r="A4" s="30">
        <v>3</v>
      </c>
      <c r="B4" s="54" t="s">
        <v>275</v>
      </c>
      <c r="C4" s="54" t="s">
        <v>273</v>
      </c>
      <c r="D4" s="54" t="s">
        <v>275</v>
      </c>
      <c r="E4" s="42">
        <v>9960.57</v>
      </c>
      <c r="F4" s="42">
        <v>2946.58</v>
      </c>
      <c r="G4" s="42">
        <v>7013.99</v>
      </c>
      <c r="H4" s="42">
        <v>35000</v>
      </c>
      <c r="I4" s="42">
        <v>2203.92</v>
      </c>
      <c r="J4" s="42">
        <v>672.66</v>
      </c>
      <c r="K4" s="42">
        <v>70</v>
      </c>
      <c r="L4" s="54" t="s">
        <v>101</v>
      </c>
      <c r="M4" s="33">
        <v>1</v>
      </c>
      <c r="N4" s="34"/>
      <c r="O4" s="36" t="str">
        <f>VLOOKUP(C4,考勤!D:D,1,0)</f>
        <v>何洋</v>
      </c>
      <c r="P4" s="55">
        <f>VLOOKUP(D4,工资表明细!$N$2:$AL$223,25,0)</f>
        <v>2203.92</v>
      </c>
      <c r="Q4" s="36">
        <f t="shared" si="0"/>
        <v>0</v>
      </c>
      <c r="R4" s="35" t="s">
        <v>815</v>
      </c>
      <c r="S4" s="56">
        <v>0</v>
      </c>
      <c r="T4" s="1">
        <f t="shared" si="1"/>
        <v>1</v>
      </c>
      <c r="U4" s="34"/>
      <c r="V4" s="34"/>
    </row>
    <row r="5" ht="15.95" customHeight="1" spans="1:22">
      <c r="A5" s="30">
        <v>4</v>
      </c>
      <c r="B5" s="54" t="s">
        <v>414</v>
      </c>
      <c r="C5" s="54" t="s">
        <v>412</v>
      </c>
      <c r="D5" s="54" t="s">
        <v>414</v>
      </c>
      <c r="E5" s="42">
        <v>6631</v>
      </c>
      <c r="F5" s="42">
        <v>1938</v>
      </c>
      <c r="G5" s="42">
        <v>4693</v>
      </c>
      <c r="H5" s="42">
        <v>19000</v>
      </c>
      <c r="I5" s="42">
        <v>1520</v>
      </c>
      <c r="J5" s="42">
        <v>380</v>
      </c>
      <c r="K5" s="42">
        <v>38</v>
      </c>
      <c r="L5" s="54" t="s">
        <v>101</v>
      </c>
      <c r="M5" s="33">
        <v>1</v>
      </c>
      <c r="N5" s="34"/>
      <c r="O5" s="36" t="str">
        <f>VLOOKUP(C5,考勤!D:D,1,0)</f>
        <v>刘临风</v>
      </c>
      <c r="P5" s="55">
        <f>VLOOKUP(D5,工资表明细!$N$2:$AL$223,25,0)</f>
        <v>1520</v>
      </c>
      <c r="Q5" s="36">
        <f t="shared" si="0"/>
        <v>0</v>
      </c>
      <c r="R5" s="35" t="s">
        <v>815</v>
      </c>
      <c r="S5" s="56">
        <v>0</v>
      </c>
      <c r="T5" s="1">
        <f t="shared" si="1"/>
        <v>1</v>
      </c>
      <c r="U5" s="34"/>
      <c r="V5" s="34"/>
    </row>
    <row r="6" ht="15.95" customHeight="1" spans="1:22">
      <c r="A6" s="30">
        <v>5</v>
      </c>
      <c r="B6" s="54" t="s">
        <v>106</v>
      </c>
      <c r="C6" s="54" t="s">
        <v>103</v>
      </c>
      <c r="D6" s="54" t="s">
        <v>106</v>
      </c>
      <c r="E6" s="42">
        <v>10430.77</v>
      </c>
      <c r="F6" s="42">
        <v>2973.52</v>
      </c>
      <c r="G6" s="42">
        <v>7457.25</v>
      </c>
      <c r="H6" s="42">
        <v>50000</v>
      </c>
      <c r="I6" s="42">
        <v>2203.92</v>
      </c>
      <c r="J6" s="42">
        <v>672.66</v>
      </c>
      <c r="K6" s="42">
        <v>96.94</v>
      </c>
      <c r="L6" s="54" t="s">
        <v>101</v>
      </c>
      <c r="M6" s="33">
        <v>1</v>
      </c>
      <c r="N6" s="34"/>
      <c r="O6" s="36" t="str">
        <f>VLOOKUP(C6,考勤!D:D,1,0)</f>
        <v>刘丹</v>
      </c>
      <c r="P6" s="55">
        <f>VLOOKUP(D6,工资表明细!$N$2:$AL$223,25,0)</f>
        <v>2203.92</v>
      </c>
      <c r="Q6" s="36">
        <f t="shared" si="0"/>
        <v>0</v>
      </c>
      <c r="R6" s="35" t="s">
        <v>815</v>
      </c>
      <c r="S6" s="56">
        <v>0</v>
      </c>
      <c r="T6" s="1">
        <f t="shared" si="1"/>
        <v>1</v>
      </c>
      <c r="U6" s="34"/>
      <c r="V6" s="34"/>
    </row>
    <row r="7" ht="15.95" customHeight="1" spans="1:22">
      <c r="A7" s="30">
        <v>6</v>
      </c>
      <c r="B7" s="54" t="s">
        <v>265</v>
      </c>
      <c r="C7" s="54" t="s">
        <v>263</v>
      </c>
      <c r="D7" s="54" t="s">
        <v>265</v>
      </c>
      <c r="E7" s="42">
        <v>10100.57</v>
      </c>
      <c r="F7" s="42">
        <v>2966.58</v>
      </c>
      <c r="G7" s="42">
        <v>7133.99</v>
      </c>
      <c r="H7" s="42">
        <v>45000</v>
      </c>
      <c r="I7" s="42">
        <v>2203.92</v>
      </c>
      <c r="J7" s="42">
        <v>672.66</v>
      </c>
      <c r="K7" s="42">
        <v>90</v>
      </c>
      <c r="L7" s="54" t="s">
        <v>101</v>
      </c>
      <c r="M7" s="33">
        <v>1</v>
      </c>
      <c r="N7" s="34"/>
      <c r="O7" s="36" t="str">
        <f>VLOOKUP(C7,考勤!D:D,1,0)</f>
        <v>刘伟</v>
      </c>
      <c r="P7" s="55">
        <f>VLOOKUP(D7,工资表明细!$N$2:$AL$223,25,0)</f>
        <v>2203.92</v>
      </c>
      <c r="Q7" s="36">
        <f t="shared" si="0"/>
        <v>0</v>
      </c>
      <c r="R7" s="35" t="s">
        <v>815</v>
      </c>
      <c r="S7" s="56">
        <v>0</v>
      </c>
      <c r="T7" s="1">
        <f t="shared" si="1"/>
        <v>1</v>
      </c>
      <c r="U7" s="34"/>
      <c r="V7" s="34"/>
    </row>
    <row r="8" ht="15.95" customHeight="1" spans="1:22">
      <c r="A8" s="30">
        <v>7</v>
      </c>
      <c r="B8" s="54" t="s">
        <v>250</v>
      </c>
      <c r="C8" s="54" t="s">
        <v>248</v>
      </c>
      <c r="D8" s="54" t="s">
        <v>250</v>
      </c>
      <c r="E8" s="42">
        <v>3141</v>
      </c>
      <c r="F8" s="42">
        <v>918</v>
      </c>
      <c r="G8" s="42">
        <v>2223</v>
      </c>
      <c r="H8" s="42">
        <v>9000</v>
      </c>
      <c r="I8" s="42">
        <v>720</v>
      </c>
      <c r="J8" s="42">
        <v>180</v>
      </c>
      <c r="K8" s="42">
        <v>18</v>
      </c>
      <c r="L8" s="54" t="s">
        <v>101</v>
      </c>
      <c r="M8" s="33">
        <v>1</v>
      </c>
      <c r="N8" s="34"/>
      <c r="O8" s="36" t="str">
        <f>VLOOKUP(C8,考勤!D:D,1,0)</f>
        <v>刘培琳</v>
      </c>
      <c r="P8" s="55">
        <f>VLOOKUP(D8,工资表明细!$N$2:$AL$223,25,0)</f>
        <v>720</v>
      </c>
      <c r="Q8" s="36">
        <f t="shared" si="0"/>
        <v>0</v>
      </c>
      <c r="R8" s="35" t="s">
        <v>815</v>
      </c>
      <c r="S8" s="56">
        <v>0</v>
      </c>
      <c r="T8" s="1">
        <f t="shared" si="1"/>
        <v>1</v>
      </c>
      <c r="U8" s="34"/>
      <c r="V8" s="34"/>
    </row>
    <row r="9" ht="15.95" customHeight="1" spans="1:22">
      <c r="A9" s="30">
        <v>8</v>
      </c>
      <c r="B9" s="54" t="s">
        <v>140</v>
      </c>
      <c r="C9" s="54" t="s">
        <v>139</v>
      </c>
      <c r="D9" s="54" t="s">
        <v>140</v>
      </c>
      <c r="E9" s="42">
        <v>9857.25</v>
      </c>
      <c r="F9" s="42">
        <v>2863.92</v>
      </c>
      <c r="G9" s="42">
        <v>6993.33</v>
      </c>
      <c r="H9" s="42">
        <v>30000</v>
      </c>
      <c r="I9" s="42">
        <v>2203.92</v>
      </c>
      <c r="J9" s="42">
        <v>600</v>
      </c>
      <c r="K9" s="42">
        <v>60</v>
      </c>
      <c r="L9" s="54" t="s">
        <v>101</v>
      </c>
      <c r="M9" s="33">
        <v>1</v>
      </c>
      <c r="N9" s="34"/>
      <c r="O9" s="36" t="str">
        <f>VLOOKUP(C9,考勤!D:D,1,0)</f>
        <v>刘奎廷</v>
      </c>
      <c r="P9" s="55">
        <f>VLOOKUP(D9,工资表明细!$N$2:$AL$223,25,0)</f>
        <v>2203.92</v>
      </c>
      <c r="Q9" s="36">
        <f t="shared" si="0"/>
        <v>0</v>
      </c>
      <c r="R9" s="35" t="s">
        <v>815</v>
      </c>
      <c r="S9" s="56">
        <v>0</v>
      </c>
      <c r="T9" s="1">
        <f t="shared" si="1"/>
        <v>1</v>
      </c>
      <c r="U9" s="34"/>
      <c r="V9" s="34"/>
    </row>
    <row r="10" ht="15.95" customHeight="1" spans="1:22">
      <c r="A10" s="30">
        <v>9</v>
      </c>
      <c r="B10" s="54" t="s">
        <v>396</v>
      </c>
      <c r="C10" s="54" t="s">
        <v>394</v>
      </c>
      <c r="D10" s="54" t="s">
        <v>396</v>
      </c>
      <c r="E10" s="42">
        <v>5235</v>
      </c>
      <c r="F10" s="42">
        <v>1530</v>
      </c>
      <c r="G10" s="42">
        <v>3705</v>
      </c>
      <c r="H10" s="42">
        <v>15000</v>
      </c>
      <c r="I10" s="42">
        <v>1200</v>
      </c>
      <c r="J10" s="42">
        <v>300</v>
      </c>
      <c r="K10" s="42">
        <v>30</v>
      </c>
      <c r="L10" s="54" t="s">
        <v>101</v>
      </c>
      <c r="M10" s="33">
        <v>1</v>
      </c>
      <c r="N10" s="34"/>
      <c r="O10" s="36" t="str">
        <f>VLOOKUP(C10,考勤!D:D,1,0)</f>
        <v>刘婷</v>
      </c>
      <c r="P10" s="55">
        <f>VLOOKUP(D10,工资表明细!$N$2:$AL$223,25,0)</f>
        <v>1200</v>
      </c>
      <c r="Q10" s="36">
        <f t="shared" si="0"/>
        <v>0</v>
      </c>
      <c r="R10" s="35" t="s">
        <v>815</v>
      </c>
      <c r="S10" s="56">
        <v>0</v>
      </c>
      <c r="T10" s="1">
        <f t="shared" si="1"/>
        <v>1</v>
      </c>
      <c r="U10" s="34"/>
      <c r="V10" s="34"/>
    </row>
    <row r="11" ht="15.95" customHeight="1" spans="1:22">
      <c r="A11" s="30">
        <v>10</v>
      </c>
      <c r="B11" s="54" t="s">
        <v>188</v>
      </c>
      <c r="C11" s="54" t="s">
        <v>186</v>
      </c>
      <c r="D11" s="54" t="s">
        <v>188</v>
      </c>
      <c r="E11" s="42">
        <v>10430.77</v>
      </c>
      <c r="F11" s="42">
        <v>2973.52</v>
      </c>
      <c r="G11" s="42">
        <v>7457.25</v>
      </c>
      <c r="H11" s="42">
        <v>50000</v>
      </c>
      <c r="I11" s="42">
        <v>2203.92</v>
      </c>
      <c r="J11" s="42">
        <v>672.66</v>
      </c>
      <c r="K11" s="42">
        <v>96.94</v>
      </c>
      <c r="L11" s="54" t="s">
        <v>101</v>
      </c>
      <c r="M11" s="33">
        <v>1</v>
      </c>
      <c r="N11" s="34"/>
      <c r="O11" s="36" t="str">
        <f>VLOOKUP(C11,考勤!D:D,1,0)</f>
        <v>刘永松</v>
      </c>
      <c r="P11" s="55">
        <f>VLOOKUP(D11,工资表明细!$N$2:$AL$223,25,0)</f>
        <v>2203.92</v>
      </c>
      <c r="Q11" s="36">
        <f t="shared" si="0"/>
        <v>0</v>
      </c>
      <c r="R11" s="35" t="s">
        <v>815</v>
      </c>
      <c r="S11" s="56">
        <v>0</v>
      </c>
      <c r="T11" s="1">
        <f t="shared" si="1"/>
        <v>1</v>
      </c>
      <c r="U11" s="34"/>
      <c r="V11" s="34"/>
    </row>
    <row r="12" ht="15.95" customHeight="1" spans="1:22">
      <c r="A12" s="30">
        <v>11</v>
      </c>
      <c r="B12" s="54" t="s">
        <v>386</v>
      </c>
      <c r="C12" s="54" t="s">
        <v>385</v>
      </c>
      <c r="D12" s="54" t="s">
        <v>386</v>
      </c>
      <c r="E12" s="42">
        <v>6102</v>
      </c>
      <c r="F12" s="42">
        <v>1836</v>
      </c>
      <c r="G12" s="42">
        <v>4266</v>
      </c>
      <c r="H12" s="42">
        <v>18000</v>
      </c>
      <c r="I12" s="42">
        <v>1440</v>
      </c>
      <c r="J12" s="42">
        <v>360</v>
      </c>
      <c r="K12" s="42">
        <v>36</v>
      </c>
      <c r="L12" s="54" t="s">
        <v>101</v>
      </c>
      <c r="M12" s="33">
        <v>1</v>
      </c>
      <c r="N12" s="34"/>
      <c r="O12" s="36" t="str">
        <f>VLOOKUP(C12,考勤!D:D,1,0)</f>
        <v>刘玉娴</v>
      </c>
      <c r="P12" s="55">
        <f>VLOOKUP(D12,工资表明细!$N$2:$AL$223,25,0)</f>
        <v>1440</v>
      </c>
      <c r="Q12" s="36">
        <f t="shared" si="0"/>
        <v>0</v>
      </c>
      <c r="R12" s="35" t="s">
        <v>815</v>
      </c>
      <c r="S12" s="56">
        <v>0</v>
      </c>
      <c r="T12" s="1">
        <f t="shared" si="1"/>
        <v>1</v>
      </c>
      <c r="U12" s="34"/>
      <c r="V12" s="34"/>
    </row>
    <row r="13" ht="15.95" customHeight="1" spans="1:22">
      <c r="A13" s="30">
        <v>12</v>
      </c>
      <c r="B13" s="54" t="s">
        <v>178</v>
      </c>
      <c r="C13" s="54" t="s">
        <v>176</v>
      </c>
      <c r="D13" s="54" t="s">
        <v>178</v>
      </c>
      <c r="E13" s="42">
        <v>9423</v>
      </c>
      <c r="F13" s="42">
        <v>2754</v>
      </c>
      <c r="G13" s="42">
        <v>6669</v>
      </c>
      <c r="H13" s="42">
        <v>27000</v>
      </c>
      <c r="I13" s="42">
        <v>2160</v>
      </c>
      <c r="J13" s="42">
        <v>540</v>
      </c>
      <c r="K13" s="42">
        <v>54</v>
      </c>
      <c r="L13" s="54" t="s">
        <v>101</v>
      </c>
      <c r="M13" s="33">
        <v>1</v>
      </c>
      <c r="N13" s="34"/>
      <c r="O13" s="36" t="str">
        <f>VLOOKUP(C13,考勤!D:D,1,0)</f>
        <v>刘禹豪</v>
      </c>
      <c r="P13" s="55">
        <f>VLOOKUP(D13,工资表明细!$N$2:$AL$223,25,0)</f>
        <v>2160</v>
      </c>
      <c r="Q13" s="36">
        <f t="shared" si="0"/>
        <v>0</v>
      </c>
      <c r="R13" s="35" t="s">
        <v>815</v>
      </c>
      <c r="S13" s="56">
        <v>0</v>
      </c>
      <c r="T13" s="1">
        <f t="shared" si="1"/>
        <v>1</v>
      </c>
      <c r="U13" s="34"/>
      <c r="V13" s="34"/>
    </row>
    <row r="14" ht="15.95" customHeight="1" spans="1:22">
      <c r="A14" s="30">
        <v>13</v>
      </c>
      <c r="B14" s="54" t="s">
        <v>183</v>
      </c>
      <c r="C14" s="54" t="s">
        <v>181</v>
      </c>
      <c r="D14" s="54" t="s">
        <v>183</v>
      </c>
      <c r="E14" s="42">
        <v>4746</v>
      </c>
      <c r="F14" s="42">
        <v>1428</v>
      </c>
      <c r="G14" s="42">
        <v>3318</v>
      </c>
      <c r="H14" s="42">
        <v>14000</v>
      </c>
      <c r="I14" s="42">
        <v>1120</v>
      </c>
      <c r="J14" s="42">
        <v>280</v>
      </c>
      <c r="K14" s="42">
        <v>28</v>
      </c>
      <c r="L14" s="54" t="s">
        <v>101</v>
      </c>
      <c r="M14" s="33">
        <v>1</v>
      </c>
      <c r="N14" s="34"/>
      <c r="O14" s="36" t="str">
        <f>VLOOKUP(C14,考勤!D:D,1,0)</f>
        <v>刘锦翔</v>
      </c>
      <c r="P14" s="55">
        <f>VLOOKUP(D14,工资表明细!$N$2:$AL$223,25,0)</f>
        <v>1120</v>
      </c>
      <c r="Q14" s="36">
        <f t="shared" si="0"/>
        <v>0</v>
      </c>
      <c r="R14" s="35" t="s">
        <v>815</v>
      </c>
      <c r="S14" s="56">
        <v>0</v>
      </c>
      <c r="T14" s="1">
        <f t="shared" si="1"/>
        <v>1</v>
      </c>
      <c r="U14" s="34"/>
      <c r="V14" s="34"/>
    </row>
    <row r="15" ht="15.95" customHeight="1" spans="1:22">
      <c r="A15" s="30">
        <v>14</v>
      </c>
      <c r="B15" s="54" t="s">
        <v>319</v>
      </c>
      <c r="C15" s="54" t="s">
        <v>317</v>
      </c>
      <c r="D15" s="54" t="s">
        <v>319</v>
      </c>
      <c r="E15" s="42">
        <v>8814</v>
      </c>
      <c r="F15" s="42">
        <v>2652</v>
      </c>
      <c r="G15" s="42">
        <v>6162</v>
      </c>
      <c r="H15" s="42">
        <v>26000</v>
      </c>
      <c r="I15" s="42">
        <v>2080</v>
      </c>
      <c r="J15" s="42">
        <v>520</v>
      </c>
      <c r="K15" s="42">
        <v>52</v>
      </c>
      <c r="L15" s="54" t="s">
        <v>101</v>
      </c>
      <c r="M15" s="33">
        <v>1</v>
      </c>
      <c r="N15" s="34"/>
      <c r="O15" s="36" t="str">
        <f>VLOOKUP(C15,考勤!D:D,1,0)</f>
        <v>吴润泽</v>
      </c>
      <c r="P15" s="55">
        <f>VLOOKUP(D15,工资表明细!$N$2:$AL$223,25,0)</f>
        <v>2080</v>
      </c>
      <c r="Q15" s="36">
        <f t="shared" si="0"/>
        <v>0</v>
      </c>
      <c r="R15" s="35" t="s">
        <v>815</v>
      </c>
      <c r="S15" s="56">
        <v>0</v>
      </c>
      <c r="T15" s="1">
        <f t="shared" si="1"/>
        <v>1</v>
      </c>
      <c r="U15" s="34"/>
      <c r="V15" s="34"/>
    </row>
    <row r="16" ht="15.95" customHeight="1" spans="1:22">
      <c r="A16" s="30">
        <v>15</v>
      </c>
      <c r="B16" s="54" t="s">
        <v>260</v>
      </c>
      <c r="C16" s="54" t="s">
        <v>258</v>
      </c>
      <c r="D16" s="54" t="s">
        <v>260</v>
      </c>
      <c r="E16" s="42">
        <v>9878.76</v>
      </c>
      <c r="F16" s="42">
        <v>2929.92</v>
      </c>
      <c r="G16" s="42">
        <v>6948.84</v>
      </c>
      <c r="H16" s="42">
        <v>33000</v>
      </c>
      <c r="I16" s="42">
        <v>2203.92</v>
      </c>
      <c r="J16" s="42">
        <v>660</v>
      </c>
      <c r="K16" s="42">
        <v>66</v>
      </c>
      <c r="L16" s="54" t="s">
        <v>101</v>
      </c>
      <c r="M16" s="33">
        <v>1</v>
      </c>
      <c r="N16" s="34"/>
      <c r="O16" s="36" t="str">
        <f>VLOOKUP(C16,考勤!D:D,1,0)</f>
        <v>周浩</v>
      </c>
      <c r="P16" s="55">
        <f>VLOOKUP(D16,工资表明细!$N$2:$AL$223,25,0)</f>
        <v>2203.92</v>
      </c>
      <c r="Q16" s="36">
        <f t="shared" si="0"/>
        <v>0</v>
      </c>
      <c r="R16" s="35" t="s">
        <v>815</v>
      </c>
      <c r="S16" s="56">
        <v>0</v>
      </c>
      <c r="T16" s="1">
        <f t="shared" si="1"/>
        <v>1</v>
      </c>
      <c r="U16" s="34"/>
      <c r="V16" s="34"/>
    </row>
    <row r="17" ht="15.95" customHeight="1" spans="1:22">
      <c r="A17" s="30">
        <v>16</v>
      </c>
      <c r="B17" s="54" t="s">
        <v>212</v>
      </c>
      <c r="C17" s="54" t="s">
        <v>210</v>
      </c>
      <c r="D17" s="54" t="s">
        <v>212</v>
      </c>
      <c r="E17" s="42">
        <v>6441</v>
      </c>
      <c r="F17" s="42">
        <v>1938</v>
      </c>
      <c r="G17" s="42">
        <v>4503</v>
      </c>
      <c r="H17" s="42">
        <v>19000</v>
      </c>
      <c r="I17" s="42">
        <v>1520</v>
      </c>
      <c r="J17" s="42">
        <v>380</v>
      </c>
      <c r="K17" s="42">
        <v>38</v>
      </c>
      <c r="L17" s="54" t="s">
        <v>101</v>
      </c>
      <c r="M17" s="33">
        <v>1</v>
      </c>
      <c r="N17" s="34"/>
      <c r="O17" s="36" t="str">
        <f>VLOOKUP(C17,考勤!D:D,1,0)</f>
        <v>安咛</v>
      </c>
      <c r="P17" s="55">
        <f>VLOOKUP(D17,工资表明细!$N$2:$AL$223,25,0)</f>
        <v>1520</v>
      </c>
      <c r="Q17" s="36">
        <f t="shared" si="0"/>
        <v>0</v>
      </c>
      <c r="R17" s="35" t="s">
        <v>815</v>
      </c>
      <c r="S17" s="56">
        <v>0</v>
      </c>
      <c r="T17" s="1">
        <f t="shared" si="1"/>
        <v>1</v>
      </c>
      <c r="U17" s="34"/>
      <c r="V17" s="34"/>
    </row>
    <row r="18" ht="15.95" customHeight="1" spans="1:22">
      <c r="A18" s="30">
        <v>17</v>
      </c>
      <c r="B18" s="54" t="s">
        <v>418</v>
      </c>
      <c r="C18" s="54" t="s">
        <v>417</v>
      </c>
      <c r="D18" s="54" t="s">
        <v>418</v>
      </c>
      <c r="E18" s="42">
        <v>6780</v>
      </c>
      <c r="F18" s="42">
        <v>2040</v>
      </c>
      <c r="G18" s="42">
        <v>4740</v>
      </c>
      <c r="H18" s="42">
        <v>20000</v>
      </c>
      <c r="I18" s="42">
        <v>1600</v>
      </c>
      <c r="J18" s="42">
        <v>400</v>
      </c>
      <c r="K18" s="42">
        <v>40</v>
      </c>
      <c r="L18" s="54" t="s">
        <v>101</v>
      </c>
      <c r="M18" s="33">
        <v>1</v>
      </c>
      <c r="N18" s="34"/>
      <c r="O18" s="36" t="str">
        <f>VLOOKUP(C18,考勤!D:D,1,0)</f>
        <v>岑兴满</v>
      </c>
      <c r="P18" s="55">
        <f>VLOOKUP(D18,工资表明细!$N$2:$AL$223,25,0)</f>
        <v>1600</v>
      </c>
      <c r="Q18" s="36">
        <f t="shared" si="0"/>
        <v>0</v>
      </c>
      <c r="R18" s="35" t="s">
        <v>815</v>
      </c>
      <c r="S18" s="56">
        <v>0</v>
      </c>
      <c r="T18" s="1">
        <f t="shared" si="1"/>
        <v>1</v>
      </c>
      <c r="U18" s="34"/>
      <c r="V18" s="34"/>
    </row>
    <row r="19" ht="15.95" customHeight="1" spans="1:22">
      <c r="A19" s="30">
        <v>18</v>
      </c>
      <c r="B19" s="54" t="s">
        <v>136</v>
      </c>
      <c r="C19" s="54" t="s">
        <v>134</v>
      </c>
      <c r="D19" s="54" t="s">
        <v>136</v>
      </c>
      <c r="E19" s="42">
        <v>6282</v>
      </c>
      <c r="F19" s="42">
        <v>1836</v>
      </c>
      <c r="G19" s="42">
        <v>4446</v>
      </c>
      <c r="H19" s="42">
        <v>18000</v>
      </c>
      <c r="I19" s="42">
        <v>1440</v>
      </c>
      <c r="J19" s="42">
        <v>360</v>
      </c>
      <c r="K19" s="42">
        <v>36</v>
      </c>
      <c r="L19" s="54" t="s">
        <v>101</v>
      </c>
      <c r="M19" s="33">
        <v>1</v>
      </c>
      <c r="N19" s="34"/>
      <c r="O19" s="36" t="str">
        <f>VLOOKUP(C19,考勤!D:D,1,0)</f>
        <v>廖斌</v>
      </c>
      <c r="P19" s="55">
        <f>VLOOKUP(D19,工资表明细!$N$2:$AL$223,25,0)</f>
        <v>1440</v>
      </c>
      <c r="Q19" s="36">
        <f t="shared" si="0"/>
        <v>0</v>
      </c>
      <c r="R19" s="35" t="s">
        <v>815</v>
      </c>
      <c r="S19" s="56">
        <v>0</v>
      </c>
      <c r="T19" s="1">
        <f t="shared" si="1"/>
        <v>1</v>
      </c>
      <c r="U19" s="34"/>
      <c r="V19" s="34"/>
    </row>
    <row r="20" ht="15.95" customHeight="1" spans="1:22">
      <c r="A20" s="30">
        <v>19</v>
      </c>
      <c r="B20" s="54" t="s">
        <v>349</v>
      </c>
      <c r="C20" s="54" t="s">
        <v>347</v>
      </c>
      <c r="D20" s="54" t="s">
        <v>349</v>
      </c>
      <c r="E20" s="42">
        <v>6780</v>
      </c>
      <c r="F20" s="42">
        <v>2040</v>
      </c>
      <c r="G20" s="42">
        <v>4740</v>
      </c>
      <c r="H20" s="42">
        <v>20000</v>
      </c>
      <c r="I20" s="42">
        <v>1600</v>
      </c>
      <c r="J20" s="42">
        <v>400</v>
      </c>
      <c r="K20" s="42">
        <v>40</v>
      </c>
      <c r="L20" s="54" t="s">
        <v>101</v>
      </c>
      <c r="M20" s="33">
        <v>1</v>
      </c>
      <c r="N20" s="34"/>
      <c r="O20" s="36" t="str">
        <f>VLOOKUP(C20,考勤!D:D,1,0)</f>
        <v>张哲</v>
      </c>
      <c r="P20" s="55">
        <f>VLOOKUP(D20,工资表明细!$N$2:$AL$223,25,0)</f>
        <v>1600</v>
      </c>
      <c r="Q20" s="36">
        <f t="shared" si="0"/>
        <v>0</v>
      </c>
      <c r="R20" s="35" t="s">
        <v>815</v>
      </c>
      <c r="S20" s="56">
        <v>0</v>
      </c>
      <c r="T20" s="1">
        <f t="shared" si="1"/>
        <v>1</v>
      </c>
      <c r="U20" s="34"/>
      <c r="V20" s="34"/>
    </row>
    <row r="21" ht="15.95" customHeight="1" spans="1:22">
      <c r="A21" s="30">
        <v>20</v>
      </c>
      <c r="B21" s="54" t="s">
        <v>382</v>
      </c>
      <c r="C21" s="54" t="s">
        <v>380</v>
      </c>
      <c r="D21" s="54" t="s">
        <v>382</v>
      </c>
      <c r="E21" s="42">
        <v>4407</v>
      </c>
      <c r="F21" s="42">
        <v>1326</v>
      </c>
      <c r="G21" s="42">
        <v>3081</v>
      </c>
      <c r="H21" s="42">
        <v>13000</v>
      </c>
      <c r="I21" s="42">
        <v>1040</v>
      </c>
      <c r="J21" s="42">
        <v>260</v>
      </c>
      <c r="K21" s="42">
        <v>26</v>
      </c>
      <c r="L21" s="54" t="s">
        <v>101</v>
      </c>
      <c r="M21" s="33">
        <v>1</v>
      </c>
      <c r="N21" s="34"/>
      <c r="O21" s="36" t="str">
        <f>VLOOKUP(C21,考勤!D:D,1,0)</f>
        <v>张慧翊</v>
      </c>
      <c r="P21" s="55">
        <f>VLOOKUP(D21,工资表明细!$N$2:$AL$223,25,0)</f>
        <v>1040</v>
      </c>
      <c r="Q21" s="36">
        <f t="shared" si="0"/>
        <v>0</v>
      </c>
      <c r="R21" s="35" t="s">
        <v>815</v>
      </c>
      <c r="S21" s="56">
        <v>0</v>
      </c>
      <c r="T21" s="1">
        <f t="shared" si="1"/>
        <v>1</v>
      </c>
      <c r="U21" s="34"/>
      <c r="V21" s="34"/>
    </row>
    <row r="22" ht="15.95" customHeight="1" spans="1:22">
      <c r="A22" s="30">
        <v>21</v>
      </c>
      <c r="B22" s="54" t="s">
        <v>173</v>
      </c>
      <c r="C22" s="54" t="s">
        <v>171</v>
      </c>
      <c r="D22" s="54" t="s">
        <v>173</v>
      </c>
      <c r="E22" s="42">
        <v>5424</v>
      </c>
      <c r="F22" s="42">
        <v>1632</v>
      </c>
      <c r="G22" s="42">
        <v>3792</v>
      </c>
      <c r="H22" s="42">
        <v>16000</v>
      </c>
      <c r="I22" s="42">
        <v>1280</v>
      </c>
      <c r="J22" s="42">
        <v>320</v>
      </c>
      <c r="K22" s="42">
        <v>32</v>
      </c>
      <c r="L22" s="54" t="s">
        <v>101</v>
      </c>
      <c r="M22" s="33">
        <v>1</v>
      </c>
      <c r="N22" s="34"/>
      <c r="O22" s="36" t="str">
        <f>VLOOKUP(C22,考勤!D:D,1,0)</f>
        <v>张文文</v>
      </c>
      <c r="P22" s="55">
        <f>VLOOKUP(D22,工资表明细!$N$2:$AL$223,25,0)</f>
        <v>1280</v>
      </c>
      <c r="Q22" s="36">
        <f t="shared" si="0"/>
        <v>0</v>
      </c>
      <c r="R22" s="35" t="s">
        <v>815</v>
      </c>
      <c r="S22" s="56">
        <v>0</v>
      </c>
      <c r="T22" s="1">
        <f t="shared" si="1"/>
        <v>1</v>
      </c>
      <c r="U22" s="34"/>
      <c r="V22" s="34"/>
    </row>
    <row r="23" ht="15.95" customHeight="1" spans="1:22">
      <c r="A23" s="30">
        <v>22</v>
      </c>
      <c r="B23" s="54" t="s">
        <v>144</v>
      </c>
      <c r="C23" s="54" t="s">
        <v>143</v>
      </c>
      <c r="D23" s="54" t="s">
        <v>144</v>
      </c>
      <c r="E23" s="42">
        <v>9857.25</v>
      </c>
      <c r="F23" s="42">
        <v>2863.92</v>
      </c>
      <c r="G23" s="42">
        <v>6993.33</v>
      </c>
      <c r="H23" s="42">
        <v>30000</v>
      </c>
      <c r="I23" s="42">
        <v>2203.92</v>
      </c>
      <c r="J23" s="42">
        <v>600</v>
      </c>
      <c r="K23" s="42">
        <v>60</v>
      </c>
      <c r="L23" s="54" t="s">
        <v>101</v>
      </c>
      <c r="M23" s="33">
        <v>1</v>
      </c>
      <c r="N23" s="34"/>
      <c r="O23" s="36" t="str">
        <f>VLOOKUP(C23,考勤!D:D,1,0)</f>
        <v>张磊</v>
      </c>
      <c r="P23" s="55">
        <f>VLOOKUP(D23,工资表明细!$N$2:$AL$223,25,0)</f>
        <v>2203.92</v>
      </c>
      <c r="Q23" s="36">
        <f t="shared" si="0"/>
        <v>0</v>
      </c>
      <c r="R23" s="35" t="s">
        <v>815</v>
      </c>
      <c r="S23" s="56">
        <v>0</v>
      </c>
      <c r="T23" s="1">
        <f t="shared" si="1"/>
        <v>1</v>
      </c>
      <c r="U23" s="34"/>
      <c r="V23" s="34"/>
    </row>
    <row r="24" ht="15.95" customHeight="1" spans="1:22">
      <c r="A24" s="30">
        <v>23</v>
      </c>
      <c r="B24" s="54" t="s">
        <v>198</v>
      </c>
      <c r="C24" s="54" t="s">
        <v>196</v>
      </c>
      <c r="D24" s="54" t="s">
        <v>198</v>
      </c>
      <c r="E24" s="42">
        <v>6282</v>
      </c>
      <c r="F24" s="42">
        <v>1836</v>
      </c>
      <c r="G24" s="42">
        <v>4446</v>
      </c>
      <c r="H24" s="42">
        <v>18000</v>
      </c>
      <c r="I24" s="42">
        <v>1440</v>
      </c>
      <c r="J24" s="42">
        <v>360</v>
      </c>
      <c r="K24" s="42">
        <v>36</v>
      </c>
      <c r="L24" s="54" t="s">
        <v>101</v>
      </c>
      <c r="M24" s="33">
        <v>1</v>
      </c>
      <c r="N24" s="34"/>
      <c r="O24" s="36" t="str">
        <f>VLOOKUP(C24,考勤!D:D,1,0)</f>
        <v>彭星翰</v>
      </c>
      <c r="P24" s="55">
        <f>VLOOKUP(D24,工资表明细!$N$2:$AL$223,25,0)</f>
        <v>1440</v>
      </c>
      <c r="Q24" s="36">
        <f t="shared" si="0"/>
        <v>0</v>
      </c>
      <c r="R24" s="35" t="s">
        <v>815</v>
      </c>
      <c r="S24" s="56">
        <v>0</v>
      </c>
      <c r="T24" s="1">
        <f t="shared" si="1"/>
        <v>1</v>
      </c>
      <c r="U24" s="34"/>
      <c r="V24" s="34"/>
    </row>
    <row r="25" ht="15.95" customHeight="1" spans="1:22">
      <c r="A25" s="30">
        <v>24</v>
      </c>
      <c r="B25" s="54" t="s">
        <v>358</v>
      </c>
      <c r="C25" s="54" t="s">
        <v>357</v>
      </c>
      <c r="D25" s="54" t="s">
        <v>358</v>
      </c>
      <c r="E25" s="42">
        <v>6441</v>
      </c>
      <c r="F25" s="42">
        <v>1938</v>
      </c>
      <c r="G25" s="42">
        <v>4503</v>
      </c>
      <c r="H25" s="42">
        <v>19000</v>
      </c>
      <c r="I25" s="42">
        <v>1520</v>
      </c>
      <c r="J25" s="42">
        <v>380</v>
      </c>
      <c r="K25" s="42">
        <v>38</v>
      </c>
      <c r="L25" s="54" t="s">
        <v>101</v>
      </c>
      <c r="M25" s="33">
        <v>1</v>
      </c>
      <c r="N25" s="34"/>
      <c r="O25" s="36" t="str">
        <f>VLOOKUP(C25,考勤!D:D,1,0)</f>
        <v>方泽斌</v>
      </c>
      <c r="P25" s="55">
        <f>VLOOKUP(D25,工资表明细!$N$2:$AL$223,25,0)</f>
        <v>1520</v>
      </c>
      <c r="Q25" s="36">
        <f t="shared" si="0"/>
        <v>0</v>
      </c>
      <c r="R25" s="35" t="s">
        <v>815</v>
      </c>
      <c r="S25" s="56">
        <v>0</v>
      </c>
      <c r="T25" s="1">
        <f t="shared" si="1"/>
        <v>1</v>
      </c>
      <c r="U25" s="34"/>
      <c r="V25" s="34"/>
    </row>
    <row r="26" ht="15.95" customHeight="1" spans="1:22">
      <c r="A26" s="30">
        <v>25</v>
      </c>
      <c r="B26" s="54" t="s">
        <v>221</v>
      </c>
      <c r="C26" s="54" t="s">
        <v>219</v>
      </c>
      <c r="D26" s="54" t="s">
        <v>221</v>
      </c>
      <c r="E26" s="42">
        <v>9581.76</v>
      </c>
      <c r="F26" s="42">
        <v>2863.92</v>
      </c>
      <c r="G26" s="42">
        <v>6717.84</v>
      </c>
      <c r="H26" s="42">
        <v>30000</v>
      </c>
      <c r="I26" s="42">
        <v>2203.92</v>
      </c>
      <c r="J26" s="42">
        <v>600</v>
      </c>
      <c r="K26" s="42">
        <v>60</v>
      </c>
      <c r="L26" s="54" t="s">
        <v>101</v>
      </c>
      <c r="M26" s="33">
        <v>1</v>
      </c>
      <c r="N26" s="34"/>
      <c r="O26" s="36" t="str">
        <f>VLOOKUP(C26,考勤!D:D,1,0)</f>
        <v>曾育辉</v>
      </c>
      <c r="P26" s="55">
        <f>VLOOKUP(D26,工资表明细!$N$2:$AL$223,25,0)</f>
        <v>2203.92</v>
      </c>
      <c r="Q26" s="36">
        <f t="shared" si="0"/>
        <v>0</v>
      </c>
      <c r="R26" s="35" t="s">
        <v>815</v>
      </c>
      <c r="S26" s="56">
        <v>0</v>
      </c>
      <c r="T26" s="1">
        <f t="shared" si="1"/>
        <v>1</v>
      </c>
      <c r="U26" s="34"/>
      <c r="V26" s="34"/>
    </row>
    <row r="27" ht="15.95" customHeight="1" spans="1:22">
      <c r="A27" s="30">
        <v>26</v>
      </c>
      <c r="B27" s="54" t="s">
        <v>240</v>
      </c>
      <c r="C27" s="54" t="s">
        <v>239</v>
      </c>
      <c r="D27" s="54" t="s">
        <v>240</v>
      </c>
      <c r="E27" s="42">
        <v>6780</v>
      </c>
      <c r="F27" s="42">
        <v>2040</v>
      </c>
      <c r="G27" s="42">
        <v>4740</v>
      </c>
      <c r="H27" s="42">
        <v>20000</v>
      </c>
      <c r="I27" s="42">
        <v>1600</v>
      </c>
      <c r="J27" s="42">
        <v>400</v>
      </c>
      <c r="K27" s="42">
        <v>40</v>
      </c>
      <c r="L27" s="54" t="s">
        <v>101</v>
      </c>
      <c r="M27" s="33">
        <v>1</v>
      </c>
      <c r="N27" s="34"/>
      <c r="O27" s="36" t="str">
        <f>VLOOKUP(C27,考勤!D:D,1,0)</f>
        <v>朱适</v>
      </c>
      <c r="P27" s="55">
        <f>VLOOKUP(D27,工资表明细!$N$2:$AL$223,25,0)</f>
        <v>1600</v>
      </c>
      <c r="Q27" s="36">
        <f t="shared" si="0"/>
        <v>0</v>
      </c>
      <c r="R27" s="35" t="s">
        <v>815</v>
      </c>
      <c r="S27" s="56">
        <v>0</v>
      </c>
      <c r="T27" s="1">
        <f t="shared" si="1"/>
        <v>1</v>
      </c>
      <c r="U27" s="34"/>
      <c r="V27" s="34"/>
    </row>
    <row r="28" ht="15.95" customHeight="1" spans="1:22">
      <c r="A28" s="30">
        <v>27</v>
      </c>
      <c r="B28" s="54" t="s">
        <v>111</v>
      </c>
      <c r="C28" s="54" t="s">
        <v>109</v>
      </c>
      <c r="D28" s="54" t="s">
        <v>111</v>
      </c>
      <c r="E28" s="42">
        <v>5584</v>
      </c>
      <c r="F28" s="42">
        <v>1632</v>
      </c>
      <c r="G28" s="42">
        <v>3952</v>
      </c>
      <c r="H28" s="42">
        <v>16000</v>
      </c>
      <c r="I28" s="42">
        <v>1280</v>
      </c>
      <c r="J28" s="42">
        <v>320</v>
      </c>
      <c r="K28" s="42">
        <v>32</v>
      </c>
      <c r="L28" s="54" t="s">
        <v>101</v>
      </c>
      <c r="M28" s="33">
        <v>1</v>
      </c>
      <c r="N28" s="34"/>
      <c r="O28" s="36" t="str">
        <f>VLOOKUP(C28,考勤!D:D,1,0)</f>
        <v>李奕佳</v>
      </c>
      <c r="P28" s="55">
        <f>VLOOKUP(D28,工资表明细!$N$2:$AL$223,25,0)</f>
        <v>1280</v>
      </c>
      <c r="Q28" s="36">
        <f t="shared" si="0"/>
        <v>0</v>
      </c>
      <c r="R28" s="35" t="s">
        <v>815</v>
      </c>
      <c r="S28" s="56">
        <v>0</v>
      </c>
      <c r="T28" s="1">
        <f t="shared" si="1"/>
        <v>1</v>
      </c>
      <c r="U28" s="34"/>
      <c r="V28" s="34"/>
    </row>
    <row r="29" ht="15.95" customHeight="1" spans="1:22">
      <c r="A29" s="30">
        <v>28</v>
      </c>
      <c r="B29" s="54" t="s">
        <v>299</v>
      </c>
      <c r="C29" s="54" t="s">
        <v>297</v>
      </c>
      <c r="D29" s="54" t="s">
        <v>299</v>
      </c>
      <c r="E29" s="42">
        <v>4746</v>
      </c>
      <c r="F29" s="42">
        <v>1428</v>
      </c>
      <c r="G29" s="42">
        <v>3318</v>
      </c>
      <c r="H29" s="42">
        <v>14000</v>
      </c>
      <c r="I29" s="42">
        <v>1120</v>
      </c>
      <c r="J29" s="42">
        <v>280</v>
      </c>
      <c r="K29" s="42">
        <v>28</v>
      </c>
      <c r="L29" s="54" t="s">
        <v>101</v>
      </c>
      <c r="M29" s="33">
        <v>1</v>
      </c>
      <c r="N29" s="34"/>
      <c r="O29" s="36" t="str">
        <f>VLOOKUP(C29,考勤!D:D,1,0)</f>
        <v>李安迪</v>
      </c>
      <c r="P29" s="55">
        <f>VLOOKUP(D29,工资表明细!$N$2:$AL$223,25,0)</f>
        <v>1120</v>
      </c>
      <c r="Q29" s="36">
        <f t="shared" si="0"/>
        <v>0</v>
      </c>
      <c r="R29" s="35" t="s">
        <v>815</v>
      </c>
      <c r="S29" s="56">
        <v>0</v>
      </c>
      <c r="T29" s="1">
        <f t="shared" si="1"/>
        <v>1</v>
      </c>
      <c r="U29" s="34"/>
      <c r="V29" s="34"/>
    </row>
    <row r="30" ht="15.95" customHeight="1" spans="1:22">
      <c r="A30" s="30">
        <v>29</v>
      </c>
      <c r="B30" s="54" t="s">
        <v>308</v>
      </c>
      <c r="C30" s="54" t="s">
        <v>307</v>
      </c>
      <c r="D30" s="54" t="s">
        <v>308</v>
      </c>
      <c r="E30" s="42">
        <v>10236.06</v>
      </c>
      <c r="F30" s="42">
        <v>2946.58</v>
      </c>
      <c r="G30" s="42">
        <v>7289.48</v>
      </c>
      <c r="H30" s="42">
        <v>35000</v>
      </c>
      <c r="I30" s="42">
        <v>2203.92</v>
      </c>
      <c r="J30" s="42">
        <v>672.66</v>
      </c>
      <c r="K30" s="42">
        <v>70</v>
      </c>
      <c r="L30" s="54" t="s">
        <v>101</v>
      </c>
      <c r="M30" s="33">
        <v>1</v>
      </c>
      <c r="N30" s="34"/>
      <c r="O30" s="36" t="str">
        <f>VLOOKUP(C30,考勤!D:D,1,0)</f>
        <v>李杨</v>
      </c>
      <c r="P30" s="55">
        <f>VLOOKUP(D30,工资表明细!$N$2:$AL$223,25,0)</f>
        <v>2203.92</v>
      </c>
      <c r="Q30" s="36">
        <f t="shared" si="0"/>
        <v>0</v>
      </c>
      <c r="R30" s="35" t="s">
        <v>815</v>
      </c>
      <c r="S30" s="56">
        <v>0</v>
      </c>
      <c r="T30" s="1">
        <f t="shared" si="1"/>
        <v>1</v>
      </c>
      <c r="U30" s="34"/>
      <c r="V30" s="34"/>
    </row>
    <row r="31" ht="15.95" customHeight="1" spans="1:22">
      <c r="A31" s="30">
        <v>30</v>
      </c>
      <c r="B31" s="54" t="s">
        <v>226</v>
      </c>
      <c r="C31" s="54" t="s">
        <v>224</v>
      </c>
      <c r="D31" s="54" t="s">
        <v>226</v>
      </c>
      <c r="E31" s="42">
        <v>6980</v>
      </c>
      <c r="F31" s="42">
        <v>2040</v>
      </c>
      <c r="G31" s="42">
        <v>4940</v>
      </c>
      <c r="H31" s="42">
        <v>20000</v>
      </c>
      <c r="I31" s="42">
        <v>1600</v>
      </c>
      <c r="J31" s="42">
        <v>400</v>
      </c>
      <c r="K31" s="42">
        <v>40</v>
      </c>
      <c r="L31" s="54" t="s">
        <v>101</v>
      </c>
      <c r="M31" s="33">
        <v>1</v>
      </c>
      <c r="N31" s="34"/>
      <c r="O31" s="36" t="str">
        <f>VLOOKUP(C31,考勤!D:D,1,0)</f>
        <v>李艾龙</v>
      </c>
      <c r="P31" s="55">
        <f>VLOOKUP(D31,工资表明细!$N$2:$AL$223,25,0)</f>
        <v>1600</v>
      </c>
      <c r="Q31" s="36">
        <f t="shared" si="0"/>
        <v>0</v>
      </c>
      <c r="R31" s="35" t="s">
        <v>815</v>
      </c>
      <c r="S31" s="56">
        <v>0</v>
      </c>
      <c r="T31" s="1">
        <f t="shared" si="1"/>
        <v>1</v>
      </c>
      <c r="U31" s="34"/>
      <c r="V31" s="34"/>
    </row>
    <row r="32" ht="15.95" customHeight="1" spans="1:22">
      <c r="A32" s="30">
        <v>31</v>
      </c>
      <c r="B32" s="54" t="s">
        <v>236</v>
      </c>
      <c r="C32" s="54" t="s">
        <v>234</v>
      </c>
      <c r="D32" s="54" t="s">
        <v>236</v>
      </c>
      <c r="E32" s="42">
        <v>10250.06</v>
      </c>
      <c r="F32" s="42">
        <v>2948.58</v>
      </c>
      <c r="G32" s="42">
        <v>7301.48</v>
      </c>
      <c r="H32" s="42">
        <v>36000</v>
      </c>
      <c r="I32" s="42">
        <v>2203.92</v>
      </c>
      <c r="J32" s="42">
        <v>672.66</v>
      </c>
      <c r="K32" s="42">
        <v>72</v>
      </c>
      <c r="L32" s="54" t="s">
        <v>101</v>
      </c>
      <c r="M32" s="33">
        <v>1</v>
      </c>
      <c r="N32" s="34"/>
      <c r="O32" s="36" t="str">
        <f>VLOOKUP(C32,考勤!D:D,1,0)</f>
        <v>李钊</v>
      </c>
      <c r="P32" s="55">
        <f>VLOOKUP(D32,工资表明细!$N$2:$AL$223,25,0)</f>
        <v>2203.92</v>
      </c>
      <c r="Q32" s="36">
        <f t="shared" si="0"/>
        <v>0</v>
      </c>
      <c r="R32" s="35" t="s">
        <v>815</v>
      </c>
      <c r="S32" s="56">
        <v>0</v>
      </c>
      <c r="T32" s="1">
        <f t="shared" si="1"/>
        <v>1</v>
      </c>
      <c r="U32" s="34"/>
      <c r="V32" s="34"/>
    </row>
    <row r="33" ht="15.95" customHeight="1" spans="1:22">
      <c r="A33" s="30">
        <v>32</v>
      </c>
      <c r="B33" s="54" t="s">
        <v>149</v>
      </c>
      <c r="C33" s="54" t="s">
        <v>147</v>
      </c>
      <c r="D33" s="54" t="s">
        <v>149</v>
      </c>
      <c r="E33" s="42">
        <v>6780</v>
      </c>
      <c r="F33" s="42">
        <v>2040</v>
      </c>
      <c r="G33" s="42">
        <v>4740</v>
      </c>
      <c r="H33" s="42">
        <v>20000</v>
      </c>
      <c r="I33" s="42">
        <v>1600</v>
      </c>
      <c r="J33" s="42">
        <v>400</v>
      </c>
      <c r="K33" s="42">
        <v>40</v>
      </c>
      <c r="L33" s="54" t="s">
        <v>101</v>
      </c>
      <c r="M33" s="33">
        <v>1</v>
      </c>
      <c r="N33" s="34"/>
      <c r="O33" s="36" t="str">
        <f>VLOOKUP(C33,考勤!D:D,1,0)</f>
        <v>杨东升</v>
      </c>
      <c r="P33" s="55">
        <f>VLOOKUP(D33,工资表明细!$N$2:$AL$223,25,0)</f>
        <v>1600</v>
      </c>
      <c r="Q33" s="36">
        <f t="shared" si="0"/>
        <v>0</v>
      </c>
      <c r="R33" s="35" t="s">
        <v>815</v>
      </c>
      <c r="S33" s="56">
        <v>0</v>
      </c>
      <c r="T33" s="1">
        <f t="shared" si="1"/>
        <v>1</v>
      </c>
      <c r="U33" s="34"/>
      <c r="V33" s="34"/>
    </row>
    <row r="34" ht="15.95" customHeight="1" spans="1:22">
      <c r="A34" s="30">
        <v>33</v>
      </c>
      <c r="B34" s="54" t="s">
        <v>126</v>
      </c>
      <c r="C34" s="54" t="s">
        <v>124</v>
      </c>
      <c r="D34" s="54" t="s">
        <v>126</v>
      </c>
      <c r="E34" s="42">
        <v>10100.57</v>
      </c>
      <c r="F34" s="42">
        <v>2966.58</v>
      </c>
      <c r="G34" s="42">
        <v>7133.99</v>
      </c>
      <c r="H34" s="42">
        <v>45000</v>
      </c>
      <c r="I34" s="42">
        <v>2203.92</v>
      </c>
      <c r="J34" s="42">
        <v>672.66</v>
      </c>
      <c r="K34" s="42">
        <v>90</v>
      </c>
      <c r="L34" s="54" t="s">
        <v>101</v>
      </c>
      <c r="M34" s="33">
        <v>1</v>
      </c>
      <c r="N34" s="34"/>
      <c r="O34" s="36" t="str">
        <f>VLOOKUP(C34,考勤!D:D,1,0)</f>
        <v>杨振</v>
      </c>
      <c r="P34" s="55">
        <f>VLOOKUP(D34,工资表明细!$N$2:$AL$223,25,0)</f>
        <v>2203.92</v>
      </c>
      <c r="Q34" s="36">
        <f t="shared" si="0"/>
        <v>0</v>
      </c>
      <c r="R34" s="35" t="s">
        <v>815</v>
      </c>
      <c r="S34" s="56">
        <v>0</v>
      </c>
      <c r="T34" s="1">
        <f t="shared" si="1"/>
        <v>1</v>
      </c>
      <c r="U34" s="34"/>
      <c r="V34" s="34"/>
    </row>
    <row r="35" ht="15.95" customHeight="1" spans="1:22">
      <c r="A35" s="30">
        <v>34</v>
      </c>
      <c r="B35" s="54" t="s">
        <v>216</v>
      </c>
      <c r="C35" s="54" t="s">
        <v>215</v>
      </c>
      <c r="D35" s="54" t="s">
        <v>216</v>
      </c>
      <c r="E35" s="42">
        <v>6780</v>
      </c>
      <c r="F35" s="42">
        <v>2040</v>
      </c>
      <c r="G35" s="42">
        <v>4740</v>
      </c>
      <c r="H35" s="42">
        <v>20000</v>
      </c>
      <c r="I35" s="42">
        <v>1600</v>
      </c>
      <c r="J35" s="42">
        <v>400</v>
      </c>
      <c r="K35" s="42">
        <v>40</v>
      </c>
      <c r="L35" s="54" t="s">
        <v>101</v>
      </c>
      <c r="M35" s="33">
        <v>1</v>
      </c>
      <c r="N35" s="34"/>
      <c r="O35" s="36" t="str">
        <f>VLOOKUP(C35,考勤!D:D,1,0)</f>
        <v>杨昭桦</v>
      </c>
      <c r="P35" s="55">
        <f>VLOOKUP(D35,工资表明细!$N$2:$AL$223,25,0)</f>
        <v>1600</v>
      </c>
      <c r="Q35" s="36">
        <f t="shared" si="0"/>
        <v>0</v>
      </c>
      <c r="R35" s="35" t="s">
        <v>815</v>
      </c>
      <c r="S35" s="56">
        <v>0</v>
      </c>
      <c r="T35" s="1">
        <f t="shared" si="1"/>
        <v>1</v>
      </c>
      <c r="U35" s="34"/>
      <c r="V35" s="34"/>
    </row>
    <row r="36" ht="15.95" customHeight="1" spans="1:22">
      <c r="A36" s="30">
        <v>35</v>
      </c>
      <c r="B36" s="54" t="s">
        <v>121</v>
      </c>
      <c r="C36" s="54" t="s">
        <v>119</v>
      </c>
      <c r="D36" s="54" t="s">
        <v>121</v>
      </c>
      <c r="E36" s="42">
        <v>10418.06</v>
      </c>
      <c r="F36" s="42">
        <v>2972.58</v>
      </c>
      <c r="G36" s="42">
        <v>7445.48</v>
      </c>
      <c r="H36" s="42">
        <v>48000</v>
      </c>
      <c r="I36" s="42">
        <v>2203.92</v>
      </c>
      <c r="J36" s="42">
        <v>672.66</v>
      </c>
      <c r="K36" s="42">
        <v>96</v>
      </c>
      <c r="L36" s="54" t="s">
        <v>101</v>
      </c>
      <c r="M36" s="33">
        <v>1</v>
      </c>
      <c r="N36" s="34"/>
      <c r="O36" s="36" t="str">
        <f>VLOOKUP(C36,考勤!D:D,1,0)</f>
        <v>杨晓波</v>
      </c>
      <c r="P36" s="55">
        <f>VLOOKUP(D36,工资表明细!$N$2:$AL$223,25,0)</f>
        <v>2203.92</v>
      </c>
      <c r="Q36" s="36">
        <f t="shared" si="0"/>
        <v>0</v>
      </c>
      <c r="R36" s="35" t="s">
        <v>815</v>
      </c>
      <c r="S36" s="56">
        <v>0</v>
      </c>
      <c r="T36" s="1">
        <f t="shared" si="1"/>
        <v>1</v>
      </c>
      <c r="U36" s="34"/>
      <c r="V36" s="34"/>
    </row>
    <row r="37" ht="15.95" customHeight="1" spans="1:22">
      <c r="A37" s="30">
        <v>36</v>
      </c>
      <c r="B37" s="54" t="s">
        <v>462</v>
      </c>
      <c r="C37" s="54" t="s">
        <v>460</v>
      </c>
      <c r="D37" s="54" t="s">
        <v>462</v>
      </c>
      <c r="E37" s="42">
        <v>7678</v>
      </c>
      <c r="F37" s="42">
        <v>2244</v>
      </c>
      <c r="G37" s="42">
        <v>5434</v>
      </c>
      <c r="H37" s="42">
        <v>22000</v>
      </c>
      <c r="I37" s="42">
        <v>1760</v>
      </c>
      <c r="J37" s="42">
        <v>440</v>
      </c>
      <c r="K37" s="42">
        <v>44</v>
      </c>
      <c r="L37" s="54" t="s">
        <v>101</v>
      </c>
      <c r="M37" s="33">
        <v>1</v>
      </c>
      <c r="N37" s="34"/>
      <c r="O37" s="36" t="str">
        <f>VLOOKUP(C37,考勤!D:D,1,0)</f>
        <v>杨植清</v>
      </c>
      <c r="P37" s="55">
        <f>VLOOKUP(D37,工资表明细!$N$2:$AL$223,25,0)</f>
        <v>1760</v>
      </c>
      <c r="Q37" s="36">
        <f t="shared" si="0"/>
        <v>0</v>
      </c>
      <c r="R37" s="35" t="s">
        <v>815</v>
      </c>
      <c r="S37" s="56">
        <v>0</v>
      </c>
      <c r="T37" s="1">
        <f t="shared" si="1"/>
        <v>1</v>
      </c>
      <c r="U37" s="34"/>
      <c r="V37" s="34"/>
    </row>
    <row r="38" ht="15.95" customHeight="1" spans="1:22">
      <c r="A38" s="30">
        <v>37</v>
      </c>
      <c r="B38" s="54" t="s">
        <v>377</v>
      </c>
      <c r="C38" s="54" t="s">
        <v>375</v>
      </c>
      <c r="D38" s="54" t="s">
        <v>377</v>
      </c>
      <c r="E38" s="42">
        <v>3390</v>
      </c>
      <c r="F38" s="42">
        <v>1020</v>
      </c>
      <c r="G38" s="42">
        <v>2370</v>
      </c>
      <c r="H38" s="42">
        <v>10000</v>
      </c>
      <c r="I38" s="42">
        <v>800</v>
      </c>
      <c r="J38" s="42">
        <v>200</v>
      </c>
      <c r="K38" s="42">
        <v>20</v>
      </c>
      <c r="L38" s="54" t="s">
        <v>101</v>
      </c>
      <c r="M38" s="33">
        <v>1</v>
      </c>
      <c r="N38" s="34"/>
      <c r="O38" s="36" t="str">
        <f>VLOOKUP(C38,考勤!D:D,1,0)</f>
        <v>梁浩明</v>
      </c>
      <c r="P38" s="55">
        <f>VLOOKUP(D38,工资表明细!$N$2:$AL$223,25,0)</f>
        <v>800</v>
      </c>
      <c r="Q38" s="36">
        <f t="shared" si="0"/>
        <v>0</v>
      </c>
      <c r="R38" s="35" t="s">
        <v>815</v>
      </c>
      <c r="S38" s="56">
        <v>0</v>
      </c>
      <c r="T38" s="1">
        <f t="shared" si="1"/>
        <v>1</v>
      </c>
      <c r="U38" s="34"/>
      <c r="V38" s="34"/>
    </row>
    <row r="39" ht="15.95" customHeight="1" spans="1:22">
      <c r="A39" s="30">
        <v>38</v>
      </c>
      <c r="B39" s="54" t="s">
        <v>404</v>
      </c>
      <c r="C39" s="54" t="s">
        <v>403</v>
      </c>
      <c r="D39" s="54" t="s">
        <v>404</v>
      </c>
      <c r="E39" s="42">
        <v>9659.25</v>
      </c>
      <c r="F39" s="42">
        <v>2819.92</v>
      </c>
      <c r="G39" s="42">
        <v>6839.33</v>
      </c>
      <c r="H39" s="42">
        <v>28000</v>
      </c>
      <c r="I39" s="42">
        <v>2203.92</v>
      </c>
      <c r="J39" s="42">
        <v>560</v>
      </c>
      <c r="K39" s="42">
        <v>56</v>
      </c>
      <c r="L39" s="54" t="s">
        <v>101</v>
      </c>
      <c r="M39" s="33">
        <v>1</v>
      </c>
      <c r="N39" s="34"/>
      <c r="O39" s="36" t="str">
        <f>VLOOKUP(C39,考勤!D:D,1,0)</f>
        <v>潘瑜</v>
      </c>
      <c r="P39" s="55">
        <f>VLOOKUP(D39,工资表明细!$N$2:$AL$223,25,0)</f>
        <v>2203.92</v>
      </c>
      <c r="Q39" s="36">
        <f t="shared" si="0"/>
        <v>0</v>
      </c>
      <c r="R39" s="35" t="s">
        <v>815</v>
      </c>
      <c r="S39" s="56">
        <v>0</v>
      </c>
      <c r="T39" s="1">
        <f t="shared" si="1"/>
        <v>1</v>
      </c>
      <c r="U39" s="34"/>
      <c r="V39" s="34"/>
    </row>
    <row r="40" ht="15.95" customHeight="1" spans="1:22">
      <c r="A40" s="30">
        <v>39</v>
      </c>
      <c r="B40" s="54" t="s">
        <v>280</v>
      </c>
      <c r="C40" s="54" t="s">
        <v>278</v>
      </c>
      <c r="D40" s="54" t="s">
        <v>280</v>
      </c>
      <c r="E40" s="42">
        <v>9248.5</v>
      </c>
      <c r="F40" s="42">
        <v>2703</v>
      </c>
      <c r="G40" s="42">
        <v>6545.5</v>
      </c>
      <c r="H40" s="42">
        <v>26500</v>
      </c>
      <c r="I40" s="42">
        <v>2120</v>
      </c>
      <c r="J40" s="42">
        <v>530</v>
      </c>
      <c r="K40" s="42">
        <v>53</v>
      </c>
      <c r="L40" s="54" t="s">
        <v>101</v>
      </c>
      <c r="M40" s="33">
        <v>1</v>
      </c>
      <c r="N40" s="34"/>
      <c r="O40" s="36" t="str">
        <f>VLOOKUP(C40,考勤!D:D,1,0)</f>
        <v>狄慕华</v>
      </c>
      <c r="P40" s="55">
        <f>VLOOKUP(D40,工资表明细!$N$2:$AL$223,25,0)</f>
        <v>2120</v>
      </c>
      <c r="Q40" s="36">
        <f t="shared" si="0"/>
        <v>0</v>
      </c>
      <c r="R40" s="35" t="s">
        <v>815</v>
      </c>
      <c r="S40" s="56">
        <v>0</v>
      </c>
      <c r="T40" s="1">
        <f t="shared" si="1"/>
        <v>1</v>
      </c>
      <c r="U40" s="34"/>
      <c r="V40" s="34"/>
    </row>
    <row r="41" ht="15.95" customHeight="1" spans="1:22">
      <c r="A41" s="30">
        <v>40</v>
      </c>
      <c r="B41" s="54" t="s">
        <v>400</v>
      </c>
      <c r="C41" s="54" t="s">
        <v>399</v>
      </c>
      <c r="D41" s="54" t="s">
        <v>400</v>
      </c>
      <c r="E41" s="42">
        <v>9383.76</v>
      </c>
      <c r="F41" s="42">
        <v>2819.92</v>
      </c>
      <c r="G41" s="42">
        <v>6563.84</v>
      </c>
      <c r="H41" s="42">
        <v>28000</v>
      </c>
      <c r="I41" s="42">
        <v>2203.92</v>
      </c>
      <c r="J41" s="42">
        <v>560</v>
      </c>
      <c r="K41" s="42">
        <v>56</v>
      </c>
      <c r="L41" s="54" t="s">
        <v>101</v>
      </c>
      <c r="M41" s="33">
        <v>1</v>
      </c>
      <c r="N41" s="34"/>
      <c r="O41" s="36" t="str">
        <f>VLOOKUP(C41,考勤!D:D,1,0)</f>
        <v>王凡</v>
      </c>
      <c r="P41" s="55">
        <f>VLOOKUP(D41,工资表明细!$N$2:$AL$223,25,0)</f>
        <v>2203.92</v>
      </c>
      <c r="Q41" s="36">
        <f t="shared" si="0"/>
        <v>0</v>
      </c>
      <c r="R41" s="35" t="s">
        <v>815</v>
      </c>
      <c r="S41" s="56">
        <v>0</v>
      </c>
      <c r="T41" s="1">
        <f t="shared" si="1"/>
        <v>1</v>
      </c>
      <c r="U41" s="34"/>
      <c r="V41" s="34"/>
    </row>
    <row r="42" ht="15.95" customHeight="1" spans="1:22">
      <c r="A42" s="30">
        <v>41</v>
      </c>
      <c r="B42" s="54" t="s">
        <v>354</v>
      </c>
      <c r="C42" s="54" t="s">
        <v>352</v>
      </c>
      <c r="D42" s="54" t="s">
        <v>354</v>
      </c>
      <c r="E42" s="42">
        <v>5085</v>
      </c>
      <c r="F42" s="42">
        <v>1530</v>
      </c>
      <c r="G42" s="42">
        <v>3555</v>
      </c>
      <c r="H42" s="42">
        <v>15000</v>
      </c>
      <c r="I42" s="42">
        <v>1200</v>
      </c>
      <c r="J42" s="42">
        <v>300</v>
      </c>
      <c r="K42" s="42">
        <v>30</v>
      </c>
      <c r="L42" s="54" t="s">
        <v>101</v>
      </c>
      <c r="M42" s="33">
        <v>1</v>
      </c>
      <c r="N42" s="34"/>
      <c r="O42" s="36" t="str">
        <f>VLOOKUP(C42,考勤!D:D,1,0)</f>
        <v>王彦茗</v>
      </c>
      <c r="P42" s="55">
        <f>VLOOKUP(D42,工资表明细!$N$2:$AL$223,25,0)</f>
        <v>1200</v>
      </c>
      <c r="Q42" s="36">
        <f t="shared" si="0"/>
        <v>0</v>
      </c>
      <c r="R42" s="35" t="s">
        <v>815</v>
      </c>
      <c r="S42" s="56">
        <v>0</v>
      </c>
      <c r="T42" s="1">
        <f t="shared" si="1"/>
        <v>1</v>
      </c>
      <c r="U42" s="34"/>
      <c r="V42" s="34"/>
    </row>
    <row r="43" ht="15.95" customHeight="1" spans="1:22">
      <c r="A43" s="30">
        <v>42</v>
      </c>
      <c r="B43" s="54" t="s">
        <v>344</v>
      </c>
      <c r="C43" s="54" t="s">
        <v>342</v>
      </c>
      <c r="D43" s="54" t="s">
        <v>344</v>
      </c>
      <c r="E43" s="42">
        <v>10236.06</v>
      </c>
      <c r="F43" s="42">
        <v>2946.58</v>
      </c>
      <c r="G43" s="42">
        <v>7289.48</v>
      </c>
      <c r="H43" s="42">
        <v>35000</v>
      </c>
      <c r="I43" s="42">
        <v>2203.92</v>
      </c>
      <c r="J43" s="42">
        <v>672.66</v>
      </c>
      <c r="K43" s="42">
        <v>70</v>
      </c>
      <c r="L43" s="54" t="s">
        <v>101</v>
      </c>
      <c r="M43" s="33">
        <v>1</v>
      </c>
      <c r="N43" s="34"/>
      <c r="O43" s="36" t="str">
        <f>VLOOKUP(C43,考勤!D:D,1,0)</f>
        <v>王生强</v>
      </c>
      <c r="P43" s="55">
        <f>VLOOKUP(D43,工资表明细!$N$2:$AL$223,25,0)</f>
        <v>2203.92</v>
      </c>
      <c r="Q43" s="36">
        <f t="shared" si="0"/>
        <v>0</v>
      </c>
      <c r="R43" s="35" t="s">
        <v>815</v>
      </c>
      <c r="S43" s="56">
        <v>0</v>
      </c>
      <c r="T43" s="1">
        <f t="shared" si="1"/>
        <v>1</v>
      </c>
      <c r="U43" s="34"/>
      <c r="V43" s="34"/>
    </row>
    <row r="44" ht="15.95" customHeight="1" spans="1:22">
      <c r="A44" s="30">
        <v>43</v>
      </c>
      <c r="B44" s="54" t="s">
        <v>116</v>
      </c>
      <c r="C44" s="54" t="s">
        <v>114</v>
      </c>
      <c r="D44" s="54" t="s">
        <v>116</v>
      </c>
      <c r="E44" s="42">
        <v>10430.77</v>
      </c>
      <c r="F44" s="42">
        <v>2973.52</v>
      </c>
      <c r="G44" s="42">
        <v>7457.25</v>
      </c>
      <c r="H44" s="42">
        <v>50000</v>
      </c>
      <c r="I44" s="42">
        <v>2203.92</v>
      </c>
      <c r="J44" s="42">
        <v>672.66</v>
      </c>
      <c r="K44" s="42">
        <v>96.94</v>
      </c>
      <c r="L44" s="54" t="s">
        <v>101</v>
      </c>
      <c r="M44" s="33">
        <v>1</v>
      </c>
      <c r="N44" s="34"/>
      <c r="O44" s="36" t="str">
        <f>VLOOKUP(C44,考勤!D:D,1,0)</f>
        <v>申华</v>
      </c>
      <c r="P44" s="55">
        <f>VLOOKUP(D44,工资表明细!$N$2:$AL$223,25,0)</f>
        <v>2203.92</v>
      </c>
      <c r="Q44" s="36">
        <f t="shared" si="0"/>
        <v>0</v>
      </c>
      <c r="R44" s="35" t="s">
        <v>815</v>
      </c>
      <c r="S44" s="56">
        <v>0</v>
      </c>
      <c r="T44" s="1">
        <f t="shared" si="1"/>
        <v>1</v>
      </c>
      <c r="U44" s="34"/>
      <c r="V44" s="34"/>
    </row>
    <row r="45" ht="15.95" customHeight="1" spans="1:22">
      <c r="A45" s="30">
        <v>44</v>
      </c>
      <c r="B45" s="54" t="s">
        <v>409</v>
      </c>
      <c r="C45" s="54" t="s">
        <v>407</v>
      </c>
      <c r="D45" s="54" t="s">
        <v>409</v>
      </c>
      <c r="E45" s="42">
        <v>6980</v>
      </c>
      <c r="F45" s="42">
        <v>2040</v>
      </c>
      <c r="G45" s="42">
        <v>4940</v>
      </c>
      <c r="H45" s="42">
        <v>20000</v>
      </c>
      <c r="I45" s="42">
        <v>1600</v>
      </c>
      <c r="J45" s="42">
        <v>400</v>
      </c>
      <c r="K45" s="42">
        <v>40</v>
      </c>
      <c r="L45" s="54" t="s">
        <v>101</v>
      </c>
      <c r="M45" s="33">
        <v>1</v>
      </c>
      <c r="N45" s="34"/>
      <c r="O45" s="36" t="str">
        <f>VLOOKUP(C45,考勤!D:D,1,0)</f>
        <v>申舒婷</v>
      </c>
      <c r="P45" s="55">
        <f>VLOOKUP(D45,工资表明细!$N$2:$AL$223,25,0)</f>
        <v>1600</v>
      </c>
      <c r="Q45" s="36">
        <f t="shared" si="0"/>
        <v>0</v>
      </c>
      <c r="R45" s="35" t="s">
        <v>815</v>
      </c>
      <c r="S45" s="56">
        <v>0</v>
      </c>
      <c r="T45" s="1">
        <f t="shared" si="1"/>
        <v>1</v>
      </c>
      <c r="U45" s="34"/>
      <c r="V45" s="34"/>
    </row>
    <row r="46" ht="15.95" customHeight="1" spans="1:22">
      <c r="A46" s="30">
        <v>45</v>
      </c>
      <c r="B46" s="54" t="s">
        <v>255</v>
      </c>
      <c r="C46" s="54" t="s">
        <v>253</v>
      </c>
      <c r="D46" s="54" t="s">
        <v>255</v>
      </c>
      <c r="E46" s="42">
        <v>6980</v>
      </c>
      <c r="F46" s="42">
        <v>2040</v>
      </c>
      <c r="G46" s="42">
        <v>4940</v>
      </c>
      <c r="H46" s="42">
        <v>20000</v>
      </c>
      <c r="I46" s="42">
        <v>1600</v>
      </c>
      <c r="J46" s="42">
        <v>400</v>
      </c>
      <c r="K46" s="42">
        <v>40</v>
      </c>
      <c r="L46" s="54" t="s">
        <v>101</v>
      </c>
      <c r="M46" s="33">
        <v>1</v>
      </c>
      <c r="N46" s="34"/>
      <c r="O46" s="36" t="str">
        <f>VLOOKUP(C46,考勤!D:D,1,0)</f>
        <v>程蒙</v>
      </c>
      <c r="P46" s="55">
        <f>VLOOKUP(D46,工资表明细!$N$2:$AL$223,25,0)</f>
        <v>1600</v>
      </c>
      <c r="Q46" s="36">
        <f t="shared" si="0"/>
        <v>0</v>
      </c>
      <c r="R46" s="35" t="s">
        <v>815</v>
      </c>
      <c r="S46" s="56">
        <v>0</v>
      </c>
      <c r="T46" s="1">
        <f t="shared" si="1"/>
        <v>1</v>
      </c>
      <c r="U46" s="34"/>
      <c r="V46" s="34"/>
    </row>
    <row r="47" ht="15.95" customHeight="1" spans="1:22">
      <c r="A47" s="30">
        <v>46</v>
      </c>
      <c r="B47" s="34" t="s">
        <v>324</v>
      </c>
      <c r="C47" s="34" t="s">
        <v>322</v>
      </c>
      <c r="D47" s="34" t="s">
        <v>324</v>
      </c>
      <c r="E47" s="42">
        <v>5235</v>
      </c>
      <c r="F47" s="42">
        <v>1530</v>
      </c>
      <c r="G47" s="42">
        <v>3705</v>
      </c>
      <c r="H47" s="33">
        <v>15000</v>
      </c>
      <c r="I47" s="33">
        <v>1200</v>
      </c>
      <c r="J47" s="33">
        <v>300</v>
      </c>
      <c r="K47" s="33">
        <v>30</v>
      </c>
      <c r="L47" s="54" t="s">
        <v>101</v>
      </c>
      <c r="M47" s="33">
        <v>1</v>
      </c>
      <c r="N47" s="34"/>
      <c r="O47" s="36" t="str">
        <f>VLOOKUP(C47,考勤!D:D,1,0)</f>
        <v>肖婷</v>
      </c>
      <c r="P47" s="55">
        <f>VLOOKUP(D47,工资表明细!$N$2:$AL$223,25,0)</f>
        <v>1200</v>
      </c>
      <c r="Q47" s="36">
        <f t="shared" si="0"/>
        <v>0</v>
      </c>
      <c r="R47" s="35" t="s">
        <v>815</v>
      </c>
      <c r="S47" s="56">
        <v>0</v>
      </c>
      <c r="T47" s="1">
        <f t="shared" si="1"/>
        <v>1</v>
      </c>
      <c r="U47" s="34"/>
      <c r="V47" s="34"/>
    </row>
    <row r="48" ht="15.95" customHeight="1" spans="1:22">
      <c r="A48" s="30">
        <v>47</v>
      </c>
      <c r="B48" s="34" t="s">
        <v>158</v>
      </c>
      <c r="C48" s="34" t="s">
        <v>156</v>
      </c>
      <c r="D48" s="34" t="s">
        <v>158</v>
      </c>
      <c r="E48" s="33">
        <v>8027</v>
      </c>
      <c r="F48" s="33">
        <v>2346</v>
      </c>
      <c r="G48" s="33">
        <v>5681</v>
      </c>
      <c r="H48" s="33">
        <v>23000</v>
      </c>
      <c r="I48" s="33">
        <v>1840</v>
      </c>
      <c r="J48" s="33">
        <v>460</v>
      </c>
      <c r="K48" s="33">
        <v>46</v>
      </c>
      <c r="L48" s="54" t="s">
        <v>101</v>
      </c>
      <c r="M48" s="33">
        <v>1</v>
      </c>
      <c r="N48" s="34"/>
      <c r="O48" s="36" t="str">
        <f>VLOOKUP(C48,考勤!D:D,1,0)</f>
        <v>胡豪</v>
      </c>
      <c r="P48" s="55">
        <f>VLOOKUP(D48,工资表明细!$N$2:$AL$223,25,0)</f>
        <v>1840</v>
      </c>
      <c r="Q48" s="36">
        <f t="shared" si="0"/>
        <v>0</v>
      </c>
      <c r="R48" s="35" t="s">
        <v>815</v>
      </c>
      <c r="S48" s="56">
        <v>0</v>
      </c>
      <c r="T48" s="1">
        <f t="shared" si="1"/>
        <v>1</v>
      </c>
      <c r="U48" s="34"/>
      <c r="V48" s="34"/>
    </row>
    <row r="49" ht="15.95" customHeight="1" spans="1:22">
      <c r="A49" s="30">
        <v>48</v>
      </c>
      <c r="B49" s="34" t="s">
        <v>163</v>
      </c>
      <c r="C49" s="34" t="s">
        <v>161</v>
      </c>
      <c r="D49" s="34" t="s">
        <v>163</v>
      </c>
      <c r="E49" s="33">
        <v>7329</v>
      </c>
      <c r="F49" s="33">
        <v>2142</v>
      </c>
      <c r="G49" s="33">
        <v>5187</v>
      </c>
      <c r="H49" s="33">
        <v>21000</v>
      </c>
      <c r="I49" s="33">
        <v>1680</v>
      </c>
      <c r="J49" s="33">
        <v>420</v>
      </c>
      <c r="K49" s="33">
        <v>42</v>
      </c>
      <c r="L49" s="54" t="s">
        <v>101</v>
      </c>
      <c r="M49" s="33">
        <v>1</v>
      </c>
      <c r="N49" s="34"/>
      <c r="O49" s="36" t="str">
        <f>VLOOKUP(C49,考勤!D:D,1,0)</f>
        <v>谢华明</v>
      </c>
      <c r="P49" s="55">
        <f>VLOOKUP(D49,工资表明细!$N$2:$AL$223,25,0)</f>
        <v>1680</v>
      </c>
      <c r="Q49" s="36">
        <f t="shared" si="0"/>
        <v>0</v>
      </c>
      <c r="R49" s="35" t="s">
        <v>815</v>
      </c>
      <c r="S49" s="56">
        <v>0</v>
      </c>
      <c r="T49" s="1">
        <f t="shared" si="1"/>
        <v>1</v>
      </c>
      <c r="U49" s="34"/>
      <c r="V49" s="34"/>
    </row>
    <row r="50" ht="15.95" customHeight="1" spans="1:22">
      <c r="A50" s="30">
        <v>49</v>
      </c>
      <c r="B50" s="34" t="s">
        <v>245</v>
      </c>
      <c r="C50" s="34" t="s">
        <v>243</v>
      </c>
      <c r="D50" s="34" t="s">
        <v>245</v>
      </c>
      <c r="E50" s="33">
        <v>8305.5</v>
      </c>
      <c r="F50" s="33">
        <v>2499</v>
      </c>
      <c r="G50" s="33">
        <v>5806.5</v>
      </c>
      <c r="H50" s="33">
        <v>24500</v>
      </c>
      <c r="I50" s="33">
        <v>1960</v>
      </c>
      <c r="J50" s="33">
        <v>490</v>
      </c>
      <c r="K50" s="33">
        <v>49</v>
      </c>
      <c r="L50" s="54" t="s">
        <v>101</v>
      </c>
      <c r="M50" s="33">
        <v>1</v>
      </c>
      <c r="N50" s="34"/>
      <c r="O50" s="36" t="str">
        <f>VLOOKUP(C50,考勤!D:D,1,0)</f>
        <v>谢同</v>
      </c>
      <c r="P50" s="55">
        <f>VLOOKUP(D50,工资表明细!$N$2:$AL$223,25,0)</f>
        <v>1960</v>
      </c>
      <c r="Q50" s="36">
        <f t="shared" si="0"/>
        <v>0</v>
      </c>
      <c r="R50" s="35" t="s">
        <v>815</v>
      </c>
      <c r="S50" s="56">
        <v>0</v>
      </c>
      <c r="T50" s="1">
        <f t="shared" si="1"/>
        <v>1</v>
      </c>
      <c r="U50" s="34"/>
      <c r="V50" s="34"/>
    </row>
    <row r="51" ht="15.95" customHeight="1" spans="1:22">
      <c r="A51" s="30">
        <v>50</v>
      </c>
      <c r="B51" s="34" t="s">
        <v>443</v>
      </c>
      <c r="C51" s="34" t="s">
        <v>441</v>
      </c>
      <c r="D51" s="34" t="s">
        <v>443</v>
      </c>
      <c r="E51" s="33">
        <v>9659.25</v>
      </c>
      <c r="F51" s="33">
        <v>2819.92</v>
      </c>
      <c r="G51" s="33">
        <v>6839.33</v>
      </c>
      <c r="H51" s="33">
        <v>28000</v>
      </c>
      <c r="I51" s="33">
        <v>2203.92</v>
      </c>
      <c r="J51" s="33">
        <v>560</v>
      </c>
      <c r="K51" s="33">
        <v>56</v>
      </c>
      <c r="L51" s="54" t="s">
        <v>101</v>
      </c>
      <c r="M51" s="33">
        <v>1</v>
      </c>
      <c r="N51" s="34"/>
      <c r="O51" s="36" t="str">
        <f>VLOOKUP(C51,考勤!D:D,1,0)</f>
        <v>赵敬亭</v>
      </c>
      <c r="P51" s="55">
        <f>VLOOKUP(D51,工资表明细!$N$2:$AL$223,25,0)</f>
        <v>2203.92</v>
      </c>
      <c r="Q51" s="36">
        <f t="shared" si="0"/>
        <v>0</v>
      </c>
      <c r="R51" s="35" t="s">
        <v>815</v>
      </c>
      <c r="S51" s="56">
        <v>0</v>
      </c>
      <c r="T51" s="1">
        <f t="shared" si="1"/>
        <v>1</v>
      </c>
      <c r="U51" s="34"/>
      <c r="V51" s="34"/>
    </row>
    <row r="52" ht="15.95" customHeight="1" spans="1:22">
      <c r="A52" s="30">
        <v>51</v>
      </c>
      <c r="B52" s="34" t="s">
        <v>231</v>
      </c>
      <c r="C52" s="34" t="s">
        <v>229</v>
      </c>
      <c r="D52" s="34" t="s">
        <v>231</v>
      </c>
      <c r="E52" s="33">
        <v>8475</v>
      </c>
      <c r="F52" s="33">
        <v>2550</v>
      </c>
      <c r="G52" s="33">
        <v>5925</v>
      </c>
      <c r="H52" s="33">
        <v>25000</v>
      </c>
      <c r="I52" s="33">
        <v>2000</v>
      </c>
      <c r="J52" s="33">
        <v>500</v>
      </c>
      <c r="K52" s="33">
        <v>50</v>
      </c>
      <c r="L52" s="54" t="s">
        <v>101</v>
      </c>
      <c r="M52" s="33">
        <v>1</v>
      </c>
      <c r="N52" s="34"/>
      <c r="O52" s="36" t="str">
        <f>VLOOKUP(C52,考勤!D:D,1,0)</f>
        <v>赵旭临</v>
      </c>
      <c r="P52" s="55">
        <f>VLOOKUP(D52,工资表明细!$N$2:$AL$223,25,0)</f>
        <v>2000</v>
      </c>
      <c r="Q52" s="36">
        <f t="shared" si="0"/>
        <v>0</v>
      </c>
      <c r="R52" s="35" t="s">
        <v>815</v>
      </c>
      <c r="S52" s="56">
        <v>0</v>
      </c>
      <c r="T52" s="1">
        <f t="shared" si="1"/>
        <v>1</v>
      </c>
      <c r="U52" s="34"/>
      <c r="V52" s="34"/>
    </row>
    <row r="53" ht="15.95" customHeight="1" spans="1:22">
      <c r="A53" s="30">
        <v>52</v>
      </c>
      <c r="B53" s="34" t="s">
        <v>362</v>
      </c>
      <c r="C53" s="34" t="s">
        <v>361</v>
      </c>
      <c r="D53" s="34" t="s">
        <v>362</v>
      </c>
      <c r="E53" s="33">
        <v>9581.76</v>
      </c>
      <c r="F53" s="33">
        <v>2863.92</v>
      </c>
      <c r="G53" s="33">
        <v>6717.84</v>
      </c>
      <c r="H53" s="33">
        <v>30000</v>
      </c>
      <c r="I53" s="33">
        <v>2203.92</v>
      </c>
      <c r="J53" s="33">
        <v>600</v>
      </c>
      <c r="K53" s="33">
        <v>60</v>
      </c>
      <c r="L53" s="54" t="s">
        <v>101</v>
      </c>
      <c r="M53" s="33">
        <v>1</v>
      </c>
      <c r="N53" s="34"/>
      <c r="O53" s="36" t="str">
        <f>VLOOKUP(C53,考勤!D:D,1,0)</f>
        <v>赵祎迪</v>
      </c>
      <c r="P53" s="55">
        <f>VLOOKUP(D53,工资表明细!$N$2:$AL$223,25,0)</f>
        <v>2203.92</v>
      </c>
      <c r="Q53" s="36">
        <f t="shared" si="0"/>
        <v>0</v>
      </c>
      <c r="R53" s="35" t="s">
        <v>815</v>
      </c>
      <c r="S53" s="56">
        <v>0</v>
      </c>
      <c r="T53" s="1">
        <f t="shared" si="1"/>
        <v>1</v>
      </c>
      <c r="U53" s="34"/>
      <c r="V53" s="34"/>
    </row>
    <row r="54" ht="15.95" customHeight="1" spans="1:22">
      <c r="A54" s="30">
        <v>53</v>
      </c>
      <c r="B54" s="34" t="s">
        <v>270</v>
      </c>
      <c r="C54" s="34" t="s">
        <v>268</v>
      </c>
      <c r="D54" s="34" t="s">
        <v>270</v>
      </c>
      <c r="E54" s="33">
        <v>7119</v>
      </c>
      <c r="F54" s="33">
        <v>2142</v>
      </c>
      <c r="G54" s="33">
        <v>4977</v>
      </c>
      <c r="H54" s="33">
        <v>21000</v>
      </c>
      <c r="I54" s="33">
        <v>1680</v>
      </c>
      <c r="J54" s="33">
        <v>420</v>
      </c>
      <c r="K54" s="33">
        <v>42</v>
      </c>
      <c r="L54" s="54" t="s">
        <v>101</v>
      </c>
      <c r="M54" s="33">
        <v>1</v>
      </c>
      <c r="N54" s="34"/>
      <c r="O54" s="36" t="str">
        <f>VLOOKUP(C54,考勤!D:D,1,0)</f>
        <v>路杨</v>
      </c>
      <c r="P54" s="55">
        <f>VLOOKUP(D54,工资表明细!$N$2:$AL$223,25,0)</f>
        <v>1680</v>
      </c>
      <c r="Q54" s="36">
        <f t="shared" si="0"/>
        <v>0</v>
      </c>
      <c r="R54" s="35" t="s">
        <v>815</v>
      </c>
      <c r="S54" s="56">
        <v>0</v>
      </c>
      <c r="T54" s="1">
        <f t="shared" si="1"/>
        <v>1</v>
      </c>
      <c r="U54" s="34"/>
      <c r="V54" s="34"/>
    </row>
    <row r="55" ht="15.95" customHeight="1" spans="1:22">
      <c r="A55" s="30">
        <v>54</v>
      </c>
      <c r="B55" s="34" t="s">
        <v>207</v>
      </c>
      <c r="C55" s="34" t="s">
        <v>205</v>
      </c>
      <c r="D55" s="34" t="s">
        <v>207</v>
      </c>
      <c r="E55" s="33">
        <v>9978.77</v>
      </c>
      <c r="F55" s="33">
        <v>2949.18</v>
      </c>
      <c r="G55" s="33">
        <v>7029.59</v>
      </c>
      <c r="H55" s="33">
        <v>36300</v>
      </c>
      <c r="I55" s="33">
        <v>2203.92</v>
      </c>
      <c r="J55" s="33">
        <v>672.66</v>
      </c>
      <c r="K55" s="33">
        <v>72.6</v>
      </c>
      <c r="L55" s="54" t="s">
        <v>101</v>
      </c>
      <c r="M55" s="33">
        <v>1</v>
      </c>
      <c r="N55" s="34"/>
      <c r="O55" s="36" t="str">
        <f>VLOOKUP(C55,考勤!D:D,1,0)</f>
        <v>邱永恒</v>
      </c>
      <c r="P55" s="55">
        <f>VLOOKUP(D55,工资表明细!$N$2:$AL$223,25,0)</f>
        <v>2203.92</v>
      </c>
      <c r="Q55" s="36">
        <f t="shared" si="0"/>
        <v>0</v>
      </c>
      <c r="R55" s="35" t="s">
        <v>815</v>
      </c>
      <c r="S55" s="56">
        <v>0</v>
      </c>
      <c r="T55" s="1">
        <f t="shared" si="1"/>
        <v>1</v>
      </c>
      <c r="U55" s="34"/>
      <c r="V55" s="34"/>
    </row>
    <row r="56" ht="15.95" customHeight="1" spans="1:22">
      <c r="A56" s="30">
        <v>55</v>
      </c>
      <c r="B56" s="34" t="s">
        <v>339</v>
      </c>
      <c r="C56" s="34" t="s">
        <v>337</v>
      </c>
      <c r="D56" s="34" t="s">
        <v>339</v>
      </c>
      <c r="E56" s="33">
        <v>6282</v>
      </c>
      <c r="F56" s="33">
        <v>1836</v>
      </c>
      <c r="G56" s="33">
        <v>4446</v>
      </c>
      <c r="H56" s="33">
        <v>18000</v>
      </c>
      <c r="I56" s="33">
        <v>1440</v>
      </c>
      <c r="J56" s="33">
        <v>360</v>
      </c>
      <c r="K56" s="33">
        <v>36</v>
      </c>
      <c r="L56" s="54" t="s">
        <v>101</v>
      </c>
      <c r="M56" s="33">
        <v>1</v>
      </c>
      <c r="N56" s="34"/>
      <c r="O56" s="36" t="str">
        <f>VLOOKUP(C56,考勤!D:D,1,0)</f>
        <v>邱瑞沣</v>
      </c>
      <c r="P56" s="55">
        <f>VLOOKUP(D56,工资表明细!$N$2:$AL$223,25,0)</f>
        <v>1440</v>
      </c>
      <c r="Q56" s="36">
        <f t="shared" si="0"/>
        <v>0</v>
      </c>
      <c r="R56" s="35" t="s">
        <v>815</v>
      </c>
      <c r="S56" s="56">
        <v>0</v>
      </c>
      <c r="T56" s="1">
        <f t="shared" si="1"/>
        <v>1</v>
      </c>
      <c r="U56" s="34"/>
      <c r="V56" s="34"/>
    </row>
    <row r="57" ht="15.95" customHeight="1" spans="1:22">
      <c r="A57" s="30">
        <v>56</v>
      </c>
      <c r="B57" s="34" t="s">
        <v>168</v>
      </c>
      <c r="C57" s="34" t="s">
        <v>166</v>
      </c>
      <c r="D57" s="34" t="s">
        <v>168</v>
      </c>
      <c r="E57" s="33">
        <v>8376</v>
      </c>
      <c r="F57" s="33">
        <v>2448</v>
      </c>
      <c r="G57" s="33">
        <v>5928</v>
      </c>
      <c r="H57" s="33">
        <v>24000</v>
      </c>
      <c r="I57" s="33">
        <v>1920</v>
      </c>
      <c r="J57" s="33">
        <v>480</v>
      </c>
      <c r="K57" s="33">
        <v>48</v>
      </c>
      <c r="L57" s="54" t="s">
        <v>101</v>
      </c>
      <c r="M57" s="33">
        <v>1</v>
      </c>
      <c r="N57" s="34"/>
      <c r="O57" s="36" t="str">
        <f>VLOOKUP(C57,考勤!D:D,1,0)</f>
        <v>郑琦</v>
      </c>
      <c r="P57" s="55">
        <f>VLOOKUP(D57,工资表明细!$N$2:$AL$223,25,0)</f>
        <v>1920</v>
      </c>
      <c r="Q57" s="36">
        <f t="shared" si="0"/>
        <v>0</v>
      </c>
      <c r="R57" s="35" t="s">
        <v>815</v>
      </c>
      <c r="S57" s="56">
        <v>0</v>
      </c>
      <c r="T57" s="1">
        <f t="shared" si="1"/>
        <v>1</v>
      </c>
      <c r="U57" s="34"/>
      <c r="V57" s="34"/>
    </row>
    <row r="58" ht="15.95" customHeight="1" spans="1:22">
      <c r="A58" s="30">
        <v>57</v>
      </c>
      <c r="B58" s="34" t="s">
        <v>457</v>
      </c>
      <c r="C58" s="34" t="s">
        <v>456</v>
      </c>
      <c r="D58" s="34" t="s">
        <v>457</v>
      </c>
      <c r="E58" s="33">
        <v>8136</v>
      </c>
      <c r="F58" s="33">
        <v>2448</v>
      </c>
      <c r="G58" s="33">
        <v>5688</v>
      </c>
      <c r="H58" s="33">
        <v>24000</v>
      </c>
      <c r="I58" s="33">
        <v>1920</v>
      </c>
      <c r="J58" s="33">
        <v>480</v>
      </c>
      <c r="K58" s="33">
        <v>48</v>
      </c>
      <c r="L58" s="54" t="s">
        <v>101</v>
      </c>
      <c r="M58" s="33">
        <v>1</v>
      </c>
      <c r="N58" s="34"/>
      <c r="O58" s="36" t="str">
        <f>VLOOKUP(C58,考勤!D:D,1,0)</f>
        <v>郑立文</v>
      </c>
      <c r="P58" s="55">
        <f>VLOOKUP(D58,工资表明细!$N$2:$AL$223,25,0)</f>
        <v>1920</v>
      </c>
      <c r="Q58" s="36">
        <f t="shared" si="0"/>
        <v>0</v>
      </c>
      <c r="R58" s="35" t="s">
        <v>815</v>
      </c>
      <c r="S58" s="56">
        <v>0</v>
      </c>
      <c r="T58" s="1">
        <f t="shared" si="1"/>
        <v>1</v>
      </c>
      <c r="U58" s="34"/>
      <c r="V58" s="34"/>
    </row>
    <row r="59" ht="15.95" customHeight="1" spans="1:22">
      <c r="A59" s="30">
        <v>58</v>
      </c>
      <c r="B59" s="34" t="s">
        <v>285</v>
      </c>
      <c r="C59" s="34" t="s">
        <v>283</v>
      </c>
      <c r="D59" s="34" t="s">
        <v>285</v>
      </c>
      <c r="E59" s="33">
        <v>5424</v>
      </c>
      <c r="F59" s="33">
        <v>1632</v>
      </c>
      <c r="G59" s="33">
        <v>3792</v>
      </c>
      <c r="H59" s="33">
        <v>16000</v>
      </c>
      <c r="I59" s="33">
        <v>1280</v>
      </c>
      <c r="J59" s="33">
        <v>320</v>
      </c>
      <c r="K59" s="33">
        <v>32</v>
      </c>
      <c r="L59" s="54" t="s">
        <v>101</v>
      </c>
      <c r="M59" s="33">
        <v>1</v>
      </c>
      <c r="N59" s="34"/>
      <c r="O59" s="36" t="str">
        <f>VLOOKUP(C59,考勤!D:D,1,0)</f>
        <v>陈子瑄</v>
      </c>
      <c r="P59" s="55">
        <f>VLOOKUP(D59,工资表明细!$N$2:$AL$223,25,0)</f>
        <v>1280</v>
      </c>
      <c r="Q59" s="36">
        <f t="shared" si="0"/>
        <v>0</v>
      </c>
      <c r="R59" s="35" t="s">
        <v>815</v>
      </c>
      <c r="S59" s="56">
        <v>0</v>
      </c>
      <c r="T59" s="1">
        <f t="shared" si="1"/>
        <v>1</v>
      </c>
      <c r="U59" s="34"/>
      <c r="V59" s="34"/>
    </row>
    <row r="60" ht="15.95" customHeight="1" spans="1:22">
      <c r="A60" s="30">
        <v>59</v>
      </c>
      <c r="B60" s="34" t="s">
        <v>433</v>
      </c>
      <c r="C60" s="34" t="s">
        <v>431</v>
      </c>
      <c r="D60" s="34" t="s">
        <v>433</v>
      </c>
      <c r="E60" s="33">
        <v>8376</v>
      </c>
      <c r="F60" s="33">
        <v>2448</v>
      </c>
      <c r="G60" s="33">
        <v>5928</v>
      </c>
      <c r="H60" s="33">
        <v>24000</v>
      </c>
      <c r="I60" s="33">
        <v>1920</v>
      </c>
      <c r="J60" s="33">
        <v>480</v>
      </c>
      <c r="K60" s="33">
        <v>48</v>
      </c>
      <c r="L60" s="54" t="s">
        <v>101</v>
      </c>
      <c r="M60" s="33">
        <v>1</v>
      </c>
      <c r="N60" s="34"/>
      <c r="O60" s="36" t="str">
        <f>VLOOKUP(C60,考勤!D:D,1,0)</f>
        <v>陈小玲</v>
      </c>
      <c r="P60" s="55">
        <f>VLOOKUP(D60,工资表明细!$N$2:$AL$223,25,0)</f>
        <v>1920</v>
      </c>
      <c r="Q60" s="36">
        <f t="shared" si="0"/>
        <v>0</v>
      </c>
      <c r="R60" s="35" t="s">
        <v>815</v>
      </c>
      <c r="S60" s="56">
        <v>0</v>
      </c>
      <c r="T60" s="1">
        <f t="shared" si="1"/>
        <v>1</v>
      </c>
      <c r="U60" s="34"/>
      <c r="V60" s="34"/>
    </row>
    <row r="61" ht="15.95" customHeight="1" spans="1:22">
      <c r="A61" s="30">
        <v>60</v>
      </c>
      <c r="B61" s="34" t="s">
        <v>372</v>
      </c>
      <c r="C61" s="34" t="s">
        <v>370</v>
      </c>
      <c r="D61" s="34" t="s">
        <v>372</v>
      </c>
      <c r="E61" s="33">
        <v>6980</v>
      </c>
      <c r="F61" s="33">
        <v>2040</v>
      </c>
      <c r="G61" s="33">
        <v>4940</v>
      </c>
      <c r="H61" s="33">
        <v>20000</v>
      </c>
      <c r="I61" s="33">
        <v>1600</v>
      </c>
      <c r="J61" s="33">
        <v>400</v>
      </c>
      <c r="K61" s="33">
        <v>40</v>
      </c>
      <c r="L61" s="54" t="s">
        <v>101</v>
      </c>
      <c r="M61" s="33">
        <v>1</v>
      </c>
      <c r="N61" s="34"/>
      <c r="O61" s="36" t="str">
        <f>VLOOKUP(C61,考勤!D:D,1,0)</f>
        <v>陈志鹏</v>
      </c>
      <c r="P61" s="55">
        <f>VLOOKUP(D61,工资表明细!$N$2:$AL$223,25,0)</f>
        <v>1600</v>
      </c>
      <c r="Q61" s="36">
        <f t="shared" si="0"/>
        <v>0</v>
      </c>
      <c r="R61" s="35" t="s">
        <v>815</v>
      </c>
      <c r="S61" s="56">
        <v>0</v>
      </c>
      <c r="T61" s="1">
        <f t="shared" si="1"/>
        <v>1</v>
      </c>
      <c r="U61" s="34"/>
      <c r="V61" s="34"/>
    </row>
    <row r="62" ht="15.95" customHeight="1" spans="1:22">
      <c r="A62" s="30">
        <v>61</v>
      </c>
      <c r="B62" s="34" t="s">
        <v>304</v>
      </c>
      <c r="C62" s="34" t="s">
        <v>302</v>
      </c>
      <c r="D62" s="34" t="s">
        <v>304</v>
      </c>
      <c r="E62" s="33">
        <v>5235</v>
      </c>
      <c r="F62" s="33">
        <v>1530</v>
      </c>
      <c r="G62" s="33">
        <v>3705</v>
      </c>
      <c r="H62" s="33">
        <v>15000</v>
      </c>
      <c r="I62" s="33">
        <v>1200</v>
      </c>
      <c r="J62" s="33">
        <v>300</v>
      </c>
      <c r="K62" s="33">
        <v>30</v>
      </c>
      <c r="L62" s="54" t="s">
        <v>101</v>
      </c>
      <c r="M62" s="33">
        <v>1</v>
      </c>
      <c r="N62" s="34"/>
      <c r="O62" s="36" t="str">
        <f>VLOOKUP(C62,考勤!D:D,1,0)</f>
        <v>陈晋儒</v>
      </c>
      <c r="P62" s="55">
        <f>VLOOKUP(D62,工资表明细!$N$2:$AL$223,25,0)</f>
        <v>1200</v>
      </c>
      <c r="Q62" s="36">
        <f t="shared" si="0"/>
        <v>0</v>
      </c>
      <c r="R62" s="35" t="s">
        <v>815</v>
      </c>
      <c r="S62" s="56">
        <v>0</v>
      </c>
      <c r="T62" s="1">
        <f t="shared" si="1"/>
        <v>1</v>
      </c>
      <c r="U62" s="34"/>
      <c r="V62" s="34"/>
    </row>
    <row r="63" ht="15.95" customHeight="1" spans="1:22">
      <c r="A63" s="30">
        <v>62</v>
      </c>
      <c r="B63" s="34" t="s">
        <v>153</v>
      </c>
      <c r="C63" s="34" t="s">
        <v>152</v>
      </c>
      <c r="D63" s="34" t="s">
        <v>153</v>
      </c>
      <c r="E63" s="33">
        <v>8725</v>
      </c>
      <c r="F63" s="33">
        <v>2550</v>
      </c>
      <c r="G63" s="33">
        <v>6175</v>
      </c>
      <c r="H63" s="33">
        <v>25000</v>
      </c>
      <c r="I63" s="33">
        <v>2000</v>
      </c>
      <c r="J63" s="33">
        <v>500</v>
      </c>
      <c r="K63" s="33">
        <v>50</v>
      </c>
      <c r="L63" s="54" t="s">
        <v>101</v>
      </c>
      <c r="M63" s="33">
        <v>1</v>
      </c>
      <c r="N63" s="34"/>
      <c r="O63" s="36" t="str">
        <f>VLOOKUP(C63,考勤!D:D,1,0)</f>
        <v>陈曦</v>
      </c>
      <c r="P63" s="55">
        <f>VLOOKUP(D63,工资表明细!$N$2:$AL$223,25,0)</f>
        <v>2000</v>
      </c>
      <c r="Q63" s="36">
        <f t="shared" si="0"/>
        <v>0</v>
      </c>
      <c r="R63" s="35" t="s">
        <v>815</v>
      </c>
      <c r="S63" s="56">
        <v>0</v>
      </c>
      <c r="T63" s="1">
        <f t="shared" si="1"/>
        <v>1</v>
      </c>
      <c r="U63" s="34"/>
      <c r="V63" s="34"/>
    </row>
    <row r="64" ht="15.95" customHeight="1" spans="1:22">
      <c r="A64" s="30">
        <v>63</v>
      </c>
      <c r="B64" s="34" t="s">
        <v>290</v>
      </c>
      <c r="C64" s="34" t="s">
        <v>288</v>
      </c>
      <c r="D64" s="34" t="s">
        <v>290</v>
      </c>
      <c r="E64" s="33">
        <v>4537</v>
      </c>
      <c r="F64" s="33">
        <v>1326</v>
      </c>
      <c r="G64" s="33">
        <v>3211</v>
      </c>
      <c r="H64" s="33">
        <v>13000</v>
      </c>
      <c r="I64" s="33">
        <v>1040</v>
      </c>
      <c r="J64" s="33">
        <v>260</v>
      </c>
      <c r="K64" s="33">
        <v>26</v>
      </c>
      <c r="L64" s="54" t="s">
        <v>101</v>
      </c>
      <c r="M64" s="33">
        <v>1</v>
      </c>
      <c r="N64" s="34"/>
      <c r="O64" s="36" t="str">
        <f>VLOOKUP(C64,考勤!D:D,1,0)</f>
        <v>陈玉莹</v>
      </c>
      <c r="P64" s="55">
        <f>VLOOKUP(D64,工资表明细!$N$2:$AL$223,25,0)</f>
        <v>1040</v>
      </c>
      <c r="Q64" s="36">
        <f t="shared" si="0"/>
        <v>0</v>
      </c>
      <c r="R64" s="35" t="s">
        <v>815</v>
      </c>
      <c r="S64" s="56">
        <v>0</v>
      </c>
      <c r="T64" s="1">
        <f t="shared" si="1"/>
        <v>1</v>
      </c>
      <c r="U64" s="34"/>
      <c r="V64" s="34"/>
    </row>
    <row r="65" ht="15.95" customHeight="1" spans="1:22">
      <c r="A65" s="30">
        <v>64</v>
      </c>
      <c r="B65" s="34" t="s">
        <v>367</v>
      </c>
      <c r="C65" s="34" t="s">
        <v>365</v>
      </c>
      <c r="D65" s="34" t="s">
        <v>367</v>
      </c>
      <c r="E65" s="33">
        <v>6980</v>
      </c>
      <c r="F65" s="33">
        <v>2040</v>
      </c>
      <c r="G65" s="33">
        <v>4940</v>
      </c>
      <c r="H65" s="33">
        <v>20000</v>
      </c>
      <c r="I65" s="33">
        <v>1600</v>
      </c>
      <c r="J65" s="33">
        <v>400</v>
      </c>
      <c r="K65" s="33">
        <v>40</v>
      </c>
      <c r="L65" s="54" t="s">
        <v>101</v>
      </c>
      <c r="M65" s="33">
        <v>1</v>
      </c>
      <c r="N65" s="34"/>
      <c r="O65" s="36" t="str">
        <f>VLOOKUP(C65,考勤!D:D,1,0)</f>
        <v>陈碧云</v>
      </c>
      <c r="P65" s="55">
        <f>VLOOKUP(D65,工资表明细!$N$2:$AL$223,25,0)</f>
        <v>1600</v>
      </c>
      <c r="Q65" s="36">
        <f t="shared" si="0"/>
        <v>0</v>
      </c>
      <c r="R65" s="35" t="s">
        <v>815</v>
      </c>
      <c r="S65" s="56">
        <v>0</v>
      </c>
      <c r="T65" s="1">
        <f t="shared" si="1"/>
        <v>1</v>
      </c>
      <c r="U65" s="34"/>
      <c r="V65" s="34"/>
    </row>
    <row r="66" ht="15.95" customHeight="1" spans="1:22">
      <c r="A66" s="30">
        <v>65</v>
      </c>
      <c r="B66" s="34" t="s">
        <v>294</v>
      </c>
      <c r="C66" s="34" t="s">
        <v>293</v>
      </c>
      <c r="D66" s="34" t="s">
        <v>294</v>
      </c>
      <c r="E66" s="33">
        <v>2712</v>
      </c>
      <c r="F66" s="33">
        <v>816</v>
      </c>
      <c r="G66" s="33">
        <v>1896</v>
      </c>
      <c r="H66" s="33">
        <v>8000</v>
      </c>
      <c r="I66" s="33">
        <v>640</v>
      </c>
      <c r="J66" s="33">
        <v>160</v>
      </c>
      <c r="K66" s="33">
        <v>16</v>
      </c>
      <c r="L66" s="54" t="s">
        <v>101</v>
      </c>
      <c r="M66" s="33">
        <v>1</v>
      </c>
      <c r="N66" s="34"/>
      <c r="O66" s="36" t="str">
        <f>VLOOKUP(C66,考勤!D:D,1,0)</f>
        <v>陈雨欣</v>
      </c>
      <c r="P66" s="55">
        <f>VLOOKUP(D66,工资表明细!$N$2:$AL$223,25,0)</f>
        <v>640</v>
      </c>
      <c r="Q66" s="36">
        <f t="shared" ref="Q66:Q72" si="2">I66-P66</f>
        <v>0</v>
      </c>
      <c r="R66" s="35" t="s">
        <v>815</v>
      </c>
      <c r="S66" s="56">
        <v>0</v>
      </c>
      <c r="T66" s="1">
        <f t="shared" ref="T66:T72" si="3">COUNTIF(D:D,D66)</f>
        <v>1</v>
      </c>
      <c r="U66" s="34"/>
      <c r="V66" s="34"/>
    </row>
    <row r="67" ht="15.95" customHeight="1" spans="1:22">
      <c r="A67" s="30">
        <v>66</v>
      </c>
      <c r="B67" s="34" t="s">
        <v>423</v>
      </c>
      <c r="C67" s="34" t="s">
        <v>421</v>
      </c>
      <c r="D67" s="34" t="s">
        <v>423</v>
      </c>
      <c r="E67" s="33">
        <v>10030.57</v>
      </c>
      <c r="F67" s="33">
        <v>2956.58</v>
      </c>
      <c r="G67" s="33">
        <v>7073.99</v>
      </c>
      <c r="H67" s="33">
        <v>40000</v>
      </c>
      <c r="I67" s="33">
        <v>2203.92</v>
      </c>
      <c r="J67" s="33">
        <v>672.66</v>
      </c>
      <c r="K67" s="33">
        <v>80</v>
      </c>
      <c r="L67" s="54" t="s">
        <v>101</v>
      </c>
      <c r="M67" s="33">
        <v>1</v>
      </c>
      <c r="N67" s="34"/>
      <c r="O67" s="36" t="str">
        <f>VLOOKUP(C67,考勤!D:D,1,0)</f>
        <v>韩亮</v>
      </c>
      <c r="P67" s="55">
        <f>VLOOKUP(D67,工资表明细!$N$2:$AL$223,25,0)</f>
        <v>2203.92</v>
      </c>
      <c r="Q67" s="36">
        <f t="shared" si="2"/>
        <v>0</v>
      </c>
      <c r="R67" s="35" t="s">
        <v>815</v>
      </c>
      <c r="S67" s="56">
        <v>0</v>
      </c>
      <c r="T67" s="1">
        <f t="shared" si="3"/>
        <v>1</v>
      </c>
      <c r="U67" s="34"/>
      <c r="V67" s="34"/>
    </row>
    <row r="68" ht="15.95" customHeight="1" spans="1:22">
      <c r="A68" s="30">
        <v>67</v>
      </c>
      <c r="B68" s="34" t="s">
        <v>391</v>
      </c>
      <c r="C68" s="34" t="s">
        <v>389</v>
      </c>
      <c r="D68" s="34" t="s">
        <v>391</v>
      </c>
      <c r="E68" s="33">
        <v>3729</v>
      </c>
      <c r="F68" s="33">
        <v>1122</v>
      </c>
      <c r="G68" s="33">
        <v>2607</v>
      </c>
      <c r="H68" s="33">
        <v>11000</v>
      </c>
      <c r="I68" s="33">
        <v>880</v>
      </c>
      <c r="J68" s="33">
        <v>220</v>
      </c>
      <c r="K68" s="33">
        <v>22</v>
      </c>
      <c r="L68" s="54" t="s">
        <v>101</v>
      </c>
      <c r="M68" s="33">
        <v>1</v>
      </c>
      <c r="N68" s="34"/>
      <c r="O68" s="36" t="str">
        <f>VLOOKUP(C68,考勤!D:D,1,0)</f>
        <v>马丹青</v>
      </c>
      <c r="P68" s="55">
        <f>VLOOKUP(D68,工资表明细!$N$2:$AL$223,25,0)</f>
        <v>880</v>
      </c>
      <c r="Q68" s="36">
        <f t="shared" si="2"/>
        <v>0</v>
      </c>
      <c r="R68" s="35" t="s">
        <v>815</v>
      </c>
      <c r="S68" s="56">
        <v>0</v>
      </c>
      <c r="T68" s="1">
        <f t="shared" si="3"/>
        <v>1</v>
      </c>
      <c r="U68" s="34"/>
      <c r="V68" s="34"/>
    </row>
    <row r="69" ht="15.95" customHeight="1" spans="1:22">
      <c r="A69" s="30">
        <v>68</v>
      </c>
      <c r="B69" s="34" t="s">
        <v>334</v>
      </c>
      <c r="C69" s="34" t="s">
        <v>332</v>
      </c>
      <c r="D69" s="34" t="s">
        <v>334</v>
      </c>
      <c r="E69" s="33">
        <v>8814</v>
      </c>
      <c r="F69" s="33">
        <v>2652</v>
      </c>
      <c r="G69" s="33">
        <v>6162</v>
      </c>
      <c r="H69" s="33">
        <v>26000</v>
      </c>
      <c r="I69" s="33">
        <v>2080</v>
      </c>
      <c r="J69" s="33">
        <v>520</v>
      </c>
      <c r="K69" s="33">
        <v>52</v>
      </c>
      <c r="L69" s="54" t="s">
        <v>101</v>
      </c>
      <c r="M69" s="33">
        <v>1</v>
      </c>
      <c r="N69" s="34"/>
      <c r="O69" s="36" t="str">
        <f>VLOOKUP(C69,考勤!D:D,1,0)</f>
        <v>骆成</v>
      </c>
      <c r="P69" s="55">
        <f>VLOOKUP(D69,工资表明细!$N$2:$AL$223,25,0)</f>
        <v>2080</v>
      </c>
      <c r="Q69" s="36">
        <f t="shared" si="2"/>
        <v>0</v>
      </c>
      <c r="R69" s="35" t="s">
        <v>815</v>
      </c>
      <c r="S69" s="56">
        <v>0</v>
      </c>
      <c r="T69" s="1">
        <f t="shared" si="3"/>
        <v>1</v>
      </c>
      <c r="U69" s="34"/>
      <c r="V69" s="34"/>
    </row>
    <row r="70" ht="15.95" customHeight="1" spans="1:22">
      <c r="A70" s="30">
        <v>69</v>
      </c>
      <c r="B70" s="34" t="s">
        <v>453</v>
      </c>
      <c r="C70" s="34" t="s">
        <v>451</v>
      </c>
      <c r="D70" s="34" t="s">
        <v>453</v>
      </c>
      <c r="E70" s="33">
        <v>152</v>
      </c>
      <c r="F70" s="33">
        <v>16</v>
      </c>
      <c r="G70" s="33">
        <v>136</v>
      </c>
      <c r="H70" s="33">
        <v>8000</v>
      </c>
      <c r="I70" s="33">
        <v>0</v>
      </c>
      <c r="J70" s="33">
        <v>0</v>
      </c>
      <c r="K70" s="33">
        <v>16</v>
      </c>
      <c r="L70" s="54" t="s">
        <v>101</v>
      </c>
      <c r="M70" s="33">
        <v>1</v>
      </c>
      <c r="N70" s="34"/>
      <c r="O70" s="36" t="str">
        <f>VLOOKUP(C70,考勤!D:D,1,0)</f>
        <v>麦汝琪</v>
      </c>
      <c r="P70" s="55">
        <f>VLOOKUP(D70,工资表明细!$N$2:$AL$223,25,0)</f>
        <v>0</v>
      </c>
      <c r="Q70" s="36">
        <f t="shared" si="2"/>
        <v>0</v>
      </c>
      <c r="R70" s="35" t="s">
        <v>815</v>
      </c>
      <c r="S70" s="56">
        <v>0</v>
      </c>
      <c r="T70" s="1">
        <f t="shared" si="3"/>
        <v>1</v>
      </c>
      <c r="U70" s="34"/>
      <c r="V70" s="34"/>
    </row>
    <row r="71" ht="15.95" customHeight="1" spans="1:22">
      <c r="A71" s="30">
        <v>70</v>
      </c>
      <c r="B71" s="34" t="s">
        <v>428</v>
      </c>
      <c r="C71" s="34" t="s">
        <v>426</v>
      </c>
      <c r="D71" s="34" t="s">
        <v>428</v>
      </c>
      <c r="E71" s="33">
        <v>6441</v>
      </c>
      <c r="F71" s="33">
        <v>1938</v>
      </c>
      <c r="G71" s="33">
        <v>4503</v>
      </c>
      <c r="H71" s="33">
        <v>19000</v>
      </c>
      <c r="I71" s="33">
        <v>1520</v>
      </c>
      <c r="J71" s="33">
        <v>380</v>
      </c>
      <c r="K71" s="33">
        <v>38</v>
      </c>
      <c r="L71" s="54" t="s">
        <v>101</v>
      </c>
      <c r="M71" s="33">
        <v>1</v>
      </c>
      <c r="N71" s="34"/>
      <c r="O71" s="36" t="str">
        <f>VLOOKUP(C71,考勤!D:D,1,0)</f>
        <v>黄依婷</v>
      </c>
      <c r="P71" s="55">
        <f>VLOOKUP(D71,工资表明细!$N$2:$AL$223,25,0)</f>
        <v>1520</v>
      </c>
      <c r="Q71" s="36">
        <f t="shared" si="2"/>
        <v>0</v>
      </c>
      <c r="R71" s="35" t="s">
        <v>815</v>
      </c>
      <c r="S71" s="56">
        <v>0</v>
      </c>
      <c r="T71" s="1">
        <f t="shared" si="3"/>
        <v>1</v>
      </c>
      <c r="U71" s="34"/>
      <c r="V71" s="34"/>
    </row>
    <row r="72" ht="15.95" customHeight="1" spans="1:22">
      <c r="A72" s="30">
        <v>71</v>
      </c>
      <c r="B72" s="34" t="s">
        <v>193</v>
      </c>
      <c r="C72" s="34" t="s">
        <v>191</v>
      </c>
      <c r="D72" s="34" t="s">
        <v>193</v>
      </c>
      <c r="E72" s="33">
        <v>4746</v>
      </c>
      <c r="F72" s="33">
        <v>1428</v>
      </c>
      <c r="G72" s="33">
        <v>3318</v>
      </c>
      <c r="H72" s="33">
        <v>14000</v>
      </c>
      <c r="I72" s="33">
        <v>1120</v>
      </c>
      <c r="J72" s="33">
        <v>280</v>
      </c>
      <c r="K72" s="33">
        <v>28</v>
      </c>
      <c r="L72" s="54" t="s">
        <v>101</v>
      </c>
      <c r="M72" s="33">
        <v>1</v>
      </c>
      <c r="N72" s="34"/>
      <c r="O72" s="36" t="str">
        <f>VLOOKUP(C72,考勤!D:D,1,0)</f>
        <v>黄馨玥</v>
      </c>
      <c r="P72" s="55">
        <f>VLOOKUP(D72,工资表明细!$N$2:$AL$223,25,0)</f>
        <v>1120</v>
      </c>
      <c r="Q72" s="36">
        <f t="shared" si="2"/>
        <v>0</v>
      </c>
      <c r="R72" s="35" t="s">
        <v>815</v>
      </c>
      <c r="S72" s="56">
        <v>0</v>
      </c>
      <c r="T72" s="1">
        <f t="shared" si="3"/>
        <v>1</v>
      </c>
      <c r="U72" s="34"/>
      <c r="V72" s="34"/>
    </row>
    <row r="73" ht="15.95" customHeight="1" spans="1:22">
      <c r="A73" s="30"/>
      <c r="B73" s="34"/>
      <c r="C73" s="34"/>
      <c r="D73" s="34"/>
      <c r="E73" s="33"/>
      <c r="F73" s="33"/>
      <c r="G73" s="33"/>
      <c r="H73" s="33"/>
      <c r="I73" s="33"/>
      <c r="J73" s="33"/>
      <c r="K73" s="33"/>
      <c r="L73" s="34"/>
      <c r="M73" s="34"/>
      <c r="N73" s="34"/>
      <c r="O73" s="36"/>
      <c r="P73" s="55"/>
      <c r="Q73" s="36"/>
      <c r="R73" s="35"/>
      <c r="S73" s="56"/>
      <c r="U73" s="34"/>
      <c r="V73" s="34"/>
    </row>
    <row r="74" ht="15.95" customHeight="1" spans="1:22">
      <c r="A74" s="30"/>
      <c r="B74" s="34"/>
      <c r="C74" s="34"/>
      <c r="D74" s="34"/>
      <c r="E74" s="33"/>
      <c r="F74" s="33"/>
      <c r="G74" s="33"/>
      <c r="H74" s="33"/>
      <c r="I74" s="33"/>
      <c r="J74" s="33"/>
      <c r="K74" s="33"/>
      <c r="L74" s="34"/>
      <c r="M74" s="34"/>
      <c r="N74" s="34"/>
      <c r="O74" s="36"/>
      <c r="P74" s="55"/>
      <c r="Q74" s="36"/>
      <c r="R74" s="35"/>
      <c r="S74" s="56"/>
      <c r="U74" s="34"/>
      <c r="V74" s="34"/>
    </row>
    <row r="75" ht="15.95" customHeight="1" spans="1:22">
      <c r="A75" s="30"/>
      <c r="B75" s="34"/>
      <c r="C75" s="34"/>
      <c r="D75" s="34"/>
      <c r="E75" s="33"/>
      <c r="F75" s="33"/>
      <c r="G75" s="33"/>
      <c r="H75" s="33"/>
      <c r="I75" s="33"/>
      <c r="J75" s="33"/>
      <c r="K75" s="33"/>
      <c r="L75" s="34"/>
      <c r="M75" s="34"/>
      <c r="N75" s="34"/>
      <c r="O75" s="36"/>
      <c r="P75" s="55"/>
      <c r="Q75" s="36"/>
      <c r="R75" s="35"/>
      <c r="S75" s="56"/>
      <c r="U75" s="34"/>
      <c r="V75" s="34"/>
    </row>
    <row r="76" ht="15.95" customHeight="1" spans="1:22">
      <c r="A76" s="30"/>
      <c r="B76" s="34"/>
      <c r="C76" s="34"/>
      <c r="D76" s="34"/>
      <c r="E76" s="33"/>
      <c r="F76" s="33"/>
      <c r="G76" s="33"/>
      <c r="H76" s="33"/>
      <c r="I76" s="33"/>
      <c r="J76" s="33"/>
      <c r="K76" s="33"/>
      <c r="L76" s="34"/>
      <c r="M76" s="34"/>
      <c r="N76" s="34"/>
      <c r="O76" s="36"/>
      <c r="P76" s="55"/>
      <c r="Q76" s="36"/>
      <c r="R76" s="35"/>
      <c r="S76" s="56"/>
      <c r="U76" s="34"/>
      <c r="V76" s="34"/>
    </row>
    <row r="77" ht="15.95" customHeight="1" spans="1:22">
      <c r="A77" s="57"/>
      <c r="B77" s="34"/>
      <c r="C77" s="34"/>
      <c r="D77" s="34"/>
      <c r="E77" s="58"/>
      <c r="F77" s="58"/>
      <c r="G77" s="58"/>
      <c r="H77" s="58"/>
      <c r="I77" s="58"/>
      <c r="J77" s="58"/>
      <c r="K77" s="58"/>
      <c r="L77" s="34"/>
      <c r="M77" s="34"/>
      <c r="N77" s="34"/>
      <c r="O77" s="36"/>
      <c r="P77" s="55"/>
      <c r="Q77" s="36"/>
      <c r="R77" s="35"/>
      <c r="S77" s="56"/>
    </row>
    <row r="78" spans="1:22">
      <c r="I78" s="4"/>
      <c r="J78" s="4"/>
      <c r="K78" s="4"/>
    </row>
    <row r="79" spans="1:22">
      <c r="I79" s="4"/>
      <c r="J79" s="4"/>
      <c r="K79" s="4"/>
    </row>
    <row r="80" spans="1:22">
      <c r="I80" s="4"/>
      <c r="J80" s="4"/>
      <c r="K80" s="4"/>
    </row>
    <row r="81" spans="4:19">
      <c r="I81" s="4"/>
      <c r="J81" s="4"/>
      <c r="K81" s="4"/>
    </row>
    <row r="82" spans="4:19">
      <c r="E82" s="3">
        <f>SUM(E2:E81)</f>
        <v>523749.64</v>
      </c>
      <c r="F82" s="3">
        <f>SUM(F2:F81)</f>
        <v>154261.74</v>
      </c>
      <c r="G82" s="3">
        <f>SUM(G2:G81)</f>
        <v>369487.9</v>
      </c>
      <c r="I82" s="4">
        <f>SUM(I2:I81)</f>
        <v>119278.4</v>
      </c>
      <c r="J82" s="4">
        <f>SUM(J2:J81)</f>
        <v>31611.92</v>
      </c>
      <c r="K82" s="4">
        <f>SUM(K2:K81)</f>
        <v>3371.42</v>
      </c>
    </row>
    <row r="83" spans="4:19">
      <c r="I83" s="59">
        <f>I82-工资表明细!AL83</f>
        <v>0</v>
      </c>
      <c r="J83" s="59">
        <f>J82-工资表明细!AM83</f>
        <v>0</v>
      </c>
      <c r="K83" s="59">
        <f>K82-工资表明细!AN83</f>
        <v>0</v>
      </c>
    </row>
    <row r="85" spans="4:19">
      <c r="G85" s="44" t="s">
        <v>783</v>
      </c>
      <c r="H85" s="3" t="s">
        <v>816</v>
      </c>
      <c r="I85" s="3">
        <v>107394.48</v>
      </c>
      <c r="J85" s="3">
        <v>28599.26</v>
      </c>
      <c r="K85" s="3">
        <v>3005.78</v>
      </c>
    </row>
    <row r="86" spans="4:19">
      <c r="D86" s="60"/>
      <c r="G86" s="44" t="s">
        <v>784</v>
      </c>
      <c r="H86" s="4" t="s">
        <v>817</v>
      </c>
      <c r="I86" s="3">
        <f>I82-I85</f>
        <v>11883.92</v>
      </c>
      <c r="J86" s="3">
        <f>J82-J85</f>
        <v>3012.66</v>
      </c>
      <c r="K86" s="3">
        <f>K82-K85</f>
        <v>365.64</v>
      </c>
    </row>
    <row r="89" spans="4:19">
      <c r="E89" s="6"/>
      <c r="F89" s="6"/>
      <c r="G89" s="6"/>
      <c r="H89" s="6"/>
      <c r="I89" s="6"/>
      <c r="J89" s="6"/>
      <c r="K89" s="6"/>
      <c r="O89" s="6"/>
      <c r="P89" s="6"/>
      <c r="Q89" s="6"/>
      <c r="S89" s="6"/>
    </row>
    <row r="90" spans="4:19">
      <c r="S90" s="6"/>
    </row>
  </sheetData>
  <autoFilter xmlns:etc="http://www.wps.cn/officeDocument/2017/etCustomData" ref="A1:AG72" etc:filterBottomFollowUsedRange="0">
    <extLst/>
  </autoFilter>
  <pageMargins left="0.699305555555556" right="0.699305555555556" top="0.75" bottom="0.75" header="0.3" footer="0.3"/>
  <pageSetup paperSize="9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>
    <tabColor rgb="FF92D050"/>
  </sheetPr>
  <dimension ref="A1:V90"/>
  <sheetViews>
    <sheetView zoomScale="70" zoomScaleNormal="70" workbookViewId="0">
      <pane xSplit="4" ySplit="1" topLeftCell="E50" activePane="bottomRight" state="frozen"/>
      <selection/>
      <selection pane="topRight"/>
      <selection pane="bottomLeft"/>
      <selection pane="bottomRight" activeCell="V29" sqref="V29"/>
    </sheetView>
  </sheetViews>
  <sheetFormatPr defaultColWidth="9" defaultRowHeight="16.5"/>
  <cols>
    <col min="1" max="1" width="9" style="1"/>
    <col min="2" max="2" width="9" style="2"/>
    <col min="3" max="3" width="23.7142857142857" style="2" customWidth="1"/>
    <col min="4" max="4" width="15.5714285714286" style="2" customWidth="1"/>
    <col min="5" max="5" width="18.1428571428571" style="2" customWidth="1"/>
    <col min="6" max="6" width="14.5714285714286" style="1" customWidth="1"/>
    <col min="7" max="8" width="13" style="1" customWidth="1"/>
    <col min="9" max="9" width="14.8571428571429" style="3" customWidth="1"/>
    <col min="10" max="12" width="15.8571428571429" style="1" customWidth="1"/>
    <col min="13" max="13" width="9" style="1"/>
    <col min="14" max="14" width="11" style="32" customWidth="1"/>
    <col min="15" max="15" width="11.4285714285714" style="32"/>
    <col min="16" max="16" width="11" style="32" customWidth="1"/>
    <col min="17" max="18" width="11.4285714285714" style="32"/>
    <col min="19" max="19" width="9" style="2"/>
    <col min="20" max="20" width="14.4285714285714" style="2"/>
    <col min="21" max="21" width="10.8571428571429" style="1" customWidth="1"/>
    <col min="22" max="22" width="14.4285714285714" style="1"/>
    <col min="23" max="24" width="9" style="2"/>
    <col min="25" max="27" width="9" style="1"/>
    <col min="28" max="16384" width="9" style="2"/>
  </cols>
  <sheetData>
    <row r="1" ht="21" customHeight="1" spans="1:22">
      <c r="A1" s="33" t="s">
        <v>70</v>
      </c>
      <c r="B1" s="34" t="s">
        <v>73</v>
      </c>
      <c r="C1" s="34" t="s">
        <v>79</v>
      </c>
      <c r="D1" s="34" t="s">
        <v>818</v>
      </c>
      <c r="E1" s="35" t="s">
        <v>819</v>
      </c>
      <c r="F1" s="30" t="s">
        <v>820</v>
      </c>
      <c r="G1" s="30" t="s">
        <v>821</v>
      </c>
      <c r="H1" s="30" t="s">
        <v>822</v>
      </c>
      <c r="I1" s="36" t="s">
        <v>823</v>
      </c>
      <c r="J1" s="30" t="s">
        <v>548</v>
      </c>
      <c r="K1" s="30" t="s">
        <v>824</v>
      </c>
      <c r="L1" s="30" t="s">
        <v>825</v>
      </c>
      <c r="M1" s="37" t="s">
        <v>100</v>
      </c>
      <c r="N1" s="38" t="s">
        <v>783</v>
      </c>
      <c r="O1" s="38" t="s">
        <v>784</v>
      </c>
      <c r="P1" s="38" t="s">
        <v>785</v>
      </c>
      <c r="Q1" s="38" t="s">
        <v>813</v>
      </c>
      <c r="R1" s="38" t="s">
        <v>826</v>
      </c>
      <c r="S1" s="6"/>
      <c r="T1" s="39" t="s">
        <v>783</v>
      </c>
      <c r="U1" s="40" t="s">
        <v>581</v>
      </c>
      <c r="V1" s="40" t="s">
        <v>581</v>
      </c>
    </row>
    <row r="2" spans="1:22">
      <c r="A2" s="33">
        <v>1</v>
      </c>
      <c r="B2" s="41" t="s">
        <v>253</v>
      </c>
      <c r="C2" s="41" t="s">
        <v>255</v>
      </c>
      <c r="D2" s="41" t="s">
        <v>827</v>
      </c>
      <c r="E2" s="41" t="s">
        <v>828</v>
      </c>
      <c r="F2" s="42">
        <v>19000</v>
      </c>
      <c r="G2" s="42">
        <v>0.06</v>
      </c>
      <c r="H2" s="42">
        <v>0.06</v>
      </c>
      <c r="I2" s="42">
        <v>2280</v>
      </c>
      <c r="J2" s="42" t="s">
        <v>101</v>
      </c>
      <c r="K2" s="42">
        <v>1140</v>
      </c>
      <c r="L2" s="42">
        <v>1140</v>
      </c>
      <c r="M2" s="42"/>
      <c r="N2" s="43">
        <f>VLOOKUP(B2,工资表明细!$D$2:$AO$116,38,0)</f>
        <v>1140</v>
      </c>
      <c r="O2" s="43">
        <f t="shared" ref="O2:O65" si="0">F2*H2-L2</f>
        <v>0</v>
      </c>
      <c r="P2" s="43">
        <f>VLOOKUP(C2,工资表明细!$N$2:$AO$116,28,0)</f>
        <v>1140</v>
      </c>
      <c r="Q2" s="43">
        <f t="shared" ref="Q2:Q65" si="1">F2*H2-L2</f>
        <v>0</v>
      </c>
      <c r="R2" s="43">
        <f t="shared" ref="R2:R65" si="2">P2+F2*G2-I2</f>
        <v>0</v>
      </c>
      <c r="S2" s="34"/>
      <c r="T2" s="34" t="str">
        <f>VLOOKUP(B2,考勤!D:D,1,0)</f>
        <v>程蒙</v>
      </c>
      <c r="U2" s="30">
        <f t="shared" ref="U2:U65" si="3">COUNTIF(B:B,B2)</f>
        <v>1</v>
      </c>
      <c r="V2" s="33">
        <f t="shared" ref="V2:V65" si="4">COUNTIF(C:C,C2)</f>
        <v>1</v>
      </c>
    </row>
    <row r="3" spans="1:22">
      <c r="A3" s="33">
        <v>2</v>
      </c>
      <c r="B3" s="41" t="s">
        <v>365</v>
      </c>
      <c r="C3" s="41" t="s">
        <v>367</v>
      </c>
      <c r="D3" s="41" t="s">
        <v>829</v>
      </c>
      <c r="E3" s="41" t="s">
        <v>828</v>
      </c>
      <c r="F3" s="42">
        <v>20000</v>
      </c>
      <c r="G3" s="42">
        <v>0.06</v>
      </c>
      <c r="H3" s="42">
        <v>0.06</v>
      </c>
      <c r="I3" s="42">
        <v>2400</v>
      </c>
      <c r="J3" s="42" t="s">
        <v>101</v>
      </c>
      <c r="K3" s="42">
        <v>1200</v>
      </c>
      <c r="L3" s="42">
        <v>1200</v>
      </c>
      <c r="M3" s="42"/>
      <c r="N3" s="43">
        <f>VLOOKUP(B3,工资表明细!$D$2:$AO$116,38,0)</f>
        <v>1200</v>
      </c>
      <c r="O3" s="43">
        <f t="shared" si="0"/>
        <v>0</v>
      </c>
      <c r="P3" s="43">
        <f>VLOOKUP(C3,工资表明细!$N$2:$AO$116,28,0)</f>
        <v>1200</v>
      </c>
      <c r="Q3" s="43">
        <f t="shared" si="1"/>
        <v>0</v>
      </c>
      <c r="R3" s="43">
        <f t="shared" si="2"/>
        <v>0</v>
      </c>
      <c r="S3" s="34"/>
      <c r="T3" s="34" t="str">
        <f>VLOOKUP(B3,考勤!D:D,1,0)</f>
        <v>陈碧云</v>
      </c>
      <c r="U3" s="30">
        <f t="shared" si="3"/>
        <v>1</v>
      </c>
      <c r="V3" s="33">
        <f t="shared" si="4"/>
        <v>1</v>
      </c>
    </row>
    <row r="4" spans="1:22">
      <c r="A4" s="33">
        <v>3</v>
      </c>
      <c r="B4" s="41" t="s">
        <v>166</v>
      </c>
      <c r="C4" s="41" t="s">
        <v>168</v>
      </c>
      <c r="D4" s="41" t="s">
        <v>830</v>
      </c>
      <c r="E4" s="41" t="s">
        <v>828</v>
      </c>
      <c r="F4" s="42">
        <v>22000</v>
      </c>
      <c r="G4" s="42">
        <v>0.06</v>
      </c>
      <c r="H4" s="42">
        <v>0.12</v>
      </c>
      <c r="I4" s="42">
        <v>3960</v>
      </c>
      <c r="J4" s="42" t="s">
        <v>101</v>
      </c>
      <c r="K4" s="42">
        <v>1320</v>
      </c>
      <c r="L4" s="42">
        <v>2640</v>
      </c>
      <c r="M4" s="42"/>
      <c r="N4" s="43">
        <f>VLOOKUP(B4,工资表明细!$D$2:$AO$116,38,0)</f>
        <v>2640</v>
      </c>
      <c r="O4" s="43">
        <f t="shared" si="0"/>
        <v>0</v>
      </c>
      <c r="P4" s="43">
        <f>VLOOKUP(C4,工资表明细!$N$2:$AO$116,28,0)</f>
        <v>2640</v>
      </c>
      <c r="Q4" s="43">
        <f t="shared" si="1"/>
        <v>0</v>
      </c>
      <c r="R4" s="43">
        <f t="shared" si="2"/>
        <v>0</v>
      </c>
      <c r="S4" s="34"/>
      <c r="T4" s="34" t="str">
        <f>VLOOKUP(B4,考勤!D:D,1,0)</f>
        <v>郑琦</v>
      </c>
      <c r="U4" s="30">
        <f t="shared" si="3"/>
        <v>1</v>
      </c>
      <c r="V4" s="33">
        <f t="shared" si="4"/>
        <v>1</v>
      </c>
    </row>
    <row r="5" spans="1:22">
      <c r="A5" s="33">
        <v>4</v>
      </c>
      <c r="B5" s="41" t="s">
        <v>219</v>
      </c>
      <c r="C5" s="41" t="s">
        <v>221</v>
      </c>
      <c r="D5" s="41" t="s">
        <v>831</v>
      </c>
      <c r="E5" s="41" t="s">
        <v>828</v>
      </c>
      <c r="F5" s="42">
        <v>30000</v>
      </c>
      <c r="G5" s="42">
        <v>0.06</v>
      </c>
      <c r="H5" s="42">
        <v>0.12</v>
      </c>
      <c r="I5" s="42">
        <v>5400</v>
      </c>
      <c r="J5" s="42" t="s">
        <v>101</v>
      </c>
      <c r="K5" s="42">
        <v>1800</v>
      </c>
      <c r="L5" s="42">
        <v>3600</v>
      </c>
      <c r="M5" s="42"/>
      <c r="N5" s="43">
        <f>VLOOKUP(B5,工资表明细!$D$2:$AO$116,38,0)</f>
        <v>3600</v>
      </c>
      <c r="O5" s="43">
        <f t="shared" si="0"/>
        <v>0</v>
      </c>
      <c r="P5" s="43">
        <f>VLOOKUP(C5,工资表明细!$N$2:$AO$116,28,0)</f>
        <v>3600</v>
      </c>
      <c r="Q5" s="43">
        <f t="shared" si="1"/>
        <v>0</v>
      </c>
      <c r="R5" s="43">
        <f t="shared" si="2"/>
        <v>0</v>
      </c>
      <c r="S5" s="34"/>
      <c r="T5" s="34" t="str">
        <f>VLOOKUP(B5,考勤!D:D,1,0)</f>
        <v>曾育辉</v>
      </c>
      <c r="U5" s="30">
        <f t="shared" si="3"/>
        <v>1</v>
      </c>
      <c r="V5" s="33">
        <f t="shared" si="4"/>
        <v>1</v>
      </c>
    </row>
    <row r="6" spans="1:22">
      <c r="A6" s="33">
        <v>5</v>
      </c>
      <c r="B6" s="41" t="s">
        <v>441</v>
      </c>
      <c r="C6" s="41" t="s">
        <v>443</v>
      </c>
      <c r="D6" s="41" t="s">
        <v>832</v>
      </c>
      <c r="E6" s="41" t="s">
        <v>828</v>
      </c>
      <c r="F6" s="42">
        <v>28000</v>
      </c>
      <c r="G6" s="42">
        <v>0.06</v>
      </c>
      <c r="H6" s="42">
        <v>0.12</v>
      </c>
      <c r="I6" s="42">
        <v>5040</v>
      </c>
      <c r="J6" s="42" t="s">
        <v>101</v>
      </c>
      <c r="K6" s="42">
        <v>1680</v>
      </c>
      <c r="L6" s="42">
        <v>3360</v>
      </c>
      <c r="M6" s="42"/>
      <c r="N6" s="43">
        <f>VLOOKUP(B6,工资表明细!$D$2:$AO$116,38,0)</f>
        <v>3360</v>
      </c>
      <c r="O6" s="43">
        <f t="shared" si="0"/>
        <v>0</v>
      </c>
      <c r="P6" s="43">
        <f>VLOOKUP(C6,工资表明细!$N$2:$AO$116,28,0)</f>
        <v>3360</v>
      </c>
      <c r="Q6" s="43">
        <f t="shared" si="1"/>
        <v>0</v>
      </c>
      <c r="R6" s="43">
        <f t="shared" si="2"/>
        <v>0</v>
      </c>
      <c r="S6" s="34"/>
      <c r="T6" s="34" t="str">
        <f>VLOOKUP(B6,考勤!D:D,1,0)</f>
        <v>赵敬亭</v>
      </c>
      <c r="U6" s="30">
        <f t="shared" si="3"/>
        <v>1</v>
      </c>
      <c r="V6" s="33">
        <f t="shared" si="4"/>
        <v>1</v>
      </c>
    </row>
    <row r="7" spans="1:22">
      <c r="A7" s="33">
        <v>6</v>
      </c>
      <c r="B7" s="41" t="s">
        <v>403</v>
      </c>
      <c r="C7" s="41" t="s">
        <v>404</v>
      </c>
      <c r="D7" s="41" t="s">
        <v>833</v>
      </c>
      <c r="E7" s="41" t="s">
        <v>828</v>
      </c>
      <c r="F7" s="42">
        <v>28000</v>
      </c>
      <c r="G7" s="42">
        <v>0.06</v>
      </c>
      <c r="H7" s="42">
        <v>0.12</v>
      </c>
      <c r="I7" s="42">
        <v>5040</v>
      </c>
      <c r="J7" s="42" t="s">
        <v>101</v>
      </c>
      <c r="K7" s="42">
        <v>1680</v>
      </c>
      <c r="L7" s="42">
        <v>3360</v>
      </c>
      <c r="M7" s="42"/>
      <c r="N7" s="43">
        <f>VLOOKUP(B7,工资表明细!$D$2:$AO$116,38,0)</f>
        <v>3360</v>
      </c>
      <c r="O7" s="43">
        <f t="shared" si="0"/>
        <v>0</v>
      </c>
      <c r="P7" s="43">
        <f>VLOOKUP(C7,工资表明细!$N$2:$AO$116,28,0)</f>
        <v>3360</v>
      </c>
      <c r="Q7" s="43">
        <f t="shared" si="1"/>
        <v>0</v>
      </c>
      <c r="R7" s="43">
        <f t="shared" si="2"/>
        <v>0</v>
      </c>
      <c r="S7" s="34"/>
      <c r="T7" s="34" t="str">
        <f>VLOOKUP(B7,考勤!D:D,1,0)</f>
        <v>潘瑜</v>
      </c>
      <c r="U7" s="30">
        <f t="shared" si="3"/>
        <v>1</v>
      </c>
      <c r="V7" s="33">
        <f t="shared" si="4"/>
        <v>1</v>
      </c>
    </row>
    <row r="8" spans="1:22">
      <c r="A8" s="33">
        <v>7</v>
      </c>
      <c r="B8" s="41" t="s">
        <v>342</v>
      </c>
      <c r="C8" s="41" t="s">
        <v>344</v>
      </c>
      <c r="D8" s="41" t="s">
        <v>834</v>
      </c>
      <c r="E8" s="41" t="s">
        <v>828</v>
      </c>
      <c r="F8" s="42">
        <v>35000</v>
      </c>
      <c r="G8" s="42">
        <v>0.06</v>
      </c>
      <c r="H8" s="42">
        <v>0.12</v>
      </c>
      <c r="I8" s="42">
        <v>6300</v>
      </c>
      <c r="J8" s="42" t="s">
        <v>101</v>
      </c>
      <c r="K8" s="42">
        <v>2100</v>
      </c>
      <c r="L8" s="42">
        <v>4200</v>
      </c>
      <c r="M8" s="42"/>
      <c r="N8" s="43">
        <f>VLOOKUP(B8,工资表明细!$D$2:$AO$116,38,0)</f>
        <v>4200</v>
      </c>
      <c r="O8" s="43">
        <f t="shared" si="0"/>
        <v>0</v>
      </c>
      <c r="P8" s="43">
        <f>VLOOKUP(C8,工资表明细!$N$2:$AO$116,28,0)</f>
        <v>4200</v>
      </c>
      <c r="Q8" s="43">
        <f t="shared" si="1"/>
        <v>0</v>
      </c>
      <c r="R8" s="43">
        <f t="shared" si="2"/>
        <v>0</v>
      </c>
      <c r="S8" s="34"/>
      <c r="T8" s="34" t="str">
        <f>VLOOKUP(B8,考勤!D:D,1,0)</f>
        <v>王生强</v>
      </c>
      <c r="U8" s="30">
        <f t="shared" si="3"/>
        <v>1</v>
      </c>
      <c r="V8" s="33">
        <f t="shared" si="4"/>
        <v>1</v>
      </c>
    </row>
    <row r="9" spans="1:22">
      <c r="A9" s="33">
        <v>8</v>
      </c>
      <c r="B9" s="41" t="s">
        <v>278</v>
      </c>
      <c r="C9" s="41" t="s">
        <v>280</v>
      </c>
      <c r="D9" s="41" t="s">
        <v>835</v>
      </c>
      <c r="E9" s="41" t="s">
        <v>828</v>
      </c>
      <c r="F9" s="42">
        <v>26500</v>
      </c>
      <c r="G9" s="42">
        <v>0.06</v>
      </c>
      <c r="H9" s="42">
        <v>0.12</v>
      </c>
      <c r="I9" s="42">
        <v>4770</v>
      </c>
      <c r="J9" s="42" t="s">
        <v>101</v>
      </c>
      <c r="K9" s="42">
        <v>1590</v>
      </c>
      <c r="L9" s="42">
        <v>3180</v>
      </c>
      <c r="M9" s="42"/>
      <c r="N9" s="43">
        <f>VLOOKUP(B9,工资表明细!$D$2:$AO$116,38,0)</f>
        <v>3180</v>
      </c>
      <c r="O9" s="43">
        <f t="shared" si="0"/>
        <v>0</v>
      </c>
      <c r="P9" s="43">
        <f>VLOOKUP(C9,工资表明细!$N$2:$AO$116,28,0)</f>
        <v>3180</v>
      </c>
      <c r="Q9" s="43">
        <f t="shared" si="1"/>
        <v>0</v>
      </c>
      <c r="R9" s="43">
        <f t="shared" si="2"/>
        <v>0</v>
      </c>
      <c r="S9" s="34"/>
      <c r="T9" s="34" t="str">
        <f>VLOOKUP(B9,考勤!D:D,1,0)</f>
        <v>狄慕华</v>
      </c>
      <c r="U9" s="30">
        <f t="shared" si="3"/>
        <v>1</v>
      </c>
      <c r="V9" s="33">
        <f t="shared" si="4"/>
        <v>1</v>
      </c>
    </row>
    <row r="10" spans="1:22">
      <c r="A10" s="33">
        <v>9</v>
      </c>
      <c r="B10" s="41" t="s">
        <v>446</v>
      </c>
      <c r="C10" s="41" t="s">
        <v>448</v>
      </c>
      <c r="D10" s="41" t="s">
        <v>836</v>
      </c>
      <c r="E10" s="41" t="s">
        <v>828</v>
      </c>
      <c r="F10" s="42">
        <v>25000</v>
      </c>
      <c r="G10" s="42">
        <v>0.06</v>
      </c>
      <c r="H10" s="42">
        <v>0.06</v>
      </c>
      <c r="I10" s="42">
        <v>3000</v>
      </c>
      <c r="J10" s="42" t="s">
        <v>101</v>
      </c>
      <c r="K10" s="42">
        <v>1500</v>
      </c>
      <c r="L10" s="42">
        <v>1500</v>
      </c>
      <c r="M10" s="42"/>
      <c r="N10" s="43">
        <f>VLOOKUP(B10,工资表明细!$D$2:$AO$116,38,0)</f>
        <v>1500</v>
      </c>
      <c r="O10" s="43">
        <f t="shared" si="0"/>
        <v>0</v>
      </c>
      <c r="P10" s="43">
        <f>VLOOKUP(C10,工资表明细!$N$2:$AO$116,28,0)</f>
        <v>1500</v>
      </c>
      <c r="Q10" s="43">
        <f t="shared" si="1"/>
        <v>0</v>
      </c>
      <c r="R10" s="43">
        <f t="shared" si="2"/>
        <v>0</v>
      </c>
      <c r="S10" s="34"/>
      <c r="T10" s="34" t="str">
        <f>VLOOKUP(B10,考勤!D:D,1,0)</f>
        <v>丘深壬</v>
      </c>
      <c r="U10" s="30">
        <f t="shared" si="3"/>
        <v>1</v>
      </c>
      <c r="V10" s="33">
        <f t="shared" si="4"/>
        <v>1</v>
      </c>
    </row>
    <row r="11" spans="1:22">
      <c r="A11" s="33">
        <v>10</v>
      </c>
      <c r="B11" s="41" t="s">
        <v>234</v>
      </c>
      <c r="C11" s="41" t="s">
        <v>236</v>
      </c>
      <c r="D11" s="41" t="s">
        <v>837</v>
      </c>
      <c r="E11" s="41" t="s">
        <v>828</v>
      </c>
      <c r="F11" s="42">
        <v>36000</v>
      </c>
      <c r="G11" s="42">
        <v>0.06</v>
      </c>
      <c r="H11" s="42">
        <v>0.06</v>
      </c>
      <c r="I11" s="42">
        <v>4320</v>
      </c>
      <c r="J11" s="42" t="s">
        <v>101</v>
      </c>
      <c r="K11" s="42">
        <v>2160</v>
      </c>
      <c r="L11" s="42">
        <v>2160</v>
      </c>
      <c r="M11" s="42"/>
      <c r="N11" s="43">
        <f>VLOOKUP(B11,工资表明细!$D$2:$AO$116,38,0)</f>
        <v>2160</v>
      </c>
      <c r="O11" s="43">
        <f t="shared" si="0"/>
        <v>0</v>
      </c>
      <c r="P11" s="43">
        <f>VLOOKUP(C11,工资表明细!$N$2:$AO$116,28,0)</f>
        <v>2160</v>
      </c>
      <c r="Q11" s="43">
        <f t="shared" si="1"/>
        <v>0</v>
      </c>
      <c r="R11" s="43">
        <f t="shared" si="2"/>
        <v>0</v>
      </c>
      <c r="S11" s="34"/>
      <c r="T11" s="34" t="str">
        <f>VLOOKUP(B11,考勤!D:D,1,0)</f>
        <v>李钊</v>
      </c>
      <c r="U11" s="30">
        <f t="shared" si="3"/>
        <v>1</v>
      </c>
      <c r="V11" s="33">
        <f t="shared" si="4"/>
        <v>1</v>
      </c>
    </row>
    <row r="12" spans="1:22">
      <c r="A12" s="33">
        <v>11</v>
      </c>
      <c r="B12" s="41" t="s">
        <v>152</v>
      </c>
      <c r="C12" s="41" t="s">
        <v>153</v>
      </c>
      <c r="D12" s="41" t="s">
        <v>838</v>
      </c>
      <c r="E12" s="41" t="s">
        <v>828</v>
      </c>
      <c r="F12" s="42">
        <v>25000</v>
      </c>
      <c r="G12" s="42">
        <v>0.06</v>
      </c>
      <c r="H12" s="42">
        <v>0.06</v>
      </c>
      <c r="I12" s="42">
        <v>3000</v>
      </c>
      <c r="J12" s="42" t="s">
        <v>101</v>
      </c>
      <c r="K12" s="42">
        <v>1500</v>
      </c>
      <c r="L12" s="42">
        <v>1500</v>
      </c>
      <c r="M12" s="42"/>
      <c r="N12" s="43">
        <f>VLOOKUP(B12,工资表明细!$D$2:$AO$116,38,0)</f>
        <v>1500</v>
      </c>
      <c r="O12" s="43">
        <f t="shared" si="0"/>
        <v>0</v>
      </c>
      <c r="P12" s="43">
        <f>VLOOKUP(C12,工资表明细!$N$2:$AO$116,28,0)</f>
        <v>1500</v>
      </c>
      <c r="Q12" s="43">
        <f t="shared" si="1"/>
        <v>0</v>
      </c>
      <c r="R12" s="43">
        <f t="shared" si="2"/>
        <v>0</v>
      </c>
      <c r="S12" s="34"/>
      <c r="T12" s="34" t="str">
        <f>VLOOKUP(B12,考勤!D:D,1,0)</f>
        <v>陈曦</v>
      </c>
      <c r="U12" s="30">
        <f t="shared" si="3"/>
        <v>1</v>
      </c>
      <c r="V12" s="33">
        <f t="shared" si="4"/>
        <v>1</v>
      </c>
    </row>
    <row r="13" spans="1:22">
      <c r="A13" s="33">
        <v>12</v>
      </c>
      <c r="B13" s="41" t="s">
        <v>124</v>
      </c>
      <c r="C13" s="41" t="s">
        <v>126</v>
      </c>
      <c r="D13" s="41" t="s">
        <v>839</v>
      </c>
      <c r="E13" s="41" t="s">
        <v>828</v>
      </c>
      <c r="F13" s="42">
        <v>44265</v>
      </c>
      <c r="G13" s="42">
        <v>0.06</v>
      </c>
      <c r="H13" s="42">
        <v>0.06</v>
      </c>
      <c r="I13" s="42">
        <v>5311.8</v>
      </c>
      <c r="J13" s="42" t="s">
        <v>101</v>
      </c>
      <c r="K13" s="42">
        <v>2655.9</v>
      </c>
      <c r="L13" s="42">
        <v>2655.9</v>
      </c>
      <c r="M13" s="42"/>
      <c r="N13" s="43">
        <f>VLOOKUP(B13,工资表明细!$D$2:$AO$116,38,0)</f>
        <v>2655.9</v>
      </c>
      <c r="O13" s="43">
        <f t="shared" si="0"/>
        <v>0</v>
      </c>
      <c r="P13" s="43">
        <f>VLOOKUP(C13,工资表明细!$N$2:$AO$116,28,0)</f>
        <v>2655.9</v>
      </c>
      <c r="Q13" s="43">
        <f t="shared" si="1"/>
        <v>0</v>
      </c>
      <c r="R13" s="43">
        <f t="shared" si="2"/>
        <v>0</v>
      </c>
      <c r="S13" s="34"/>
      <c r="T13" s="34" t="str">
        <f>VLOOKUP(B13,考勤!D:D,1,0)</f>
        <v>杨振</v>
      </c>
      <c r="U13" s="30">
        <f t="shared" si="3"/>
        <v>1</v>
      </c>
      <c r="V13" s="33">
        <f t="shared" si="4"/>
        <v>1</v>
      </c>
    </row>
    <row r="14" spans="1:22">
      <c r="A14" s="33">
        <v>13</v>
      </c>
      <c r="B14" s="41" t="s">
        <v>302</v>
      </c>
      <c r="C14" s="41" t="s">
        <v>304</v>
      </c>
      <c r="D14" s="41" t="s">
        <v>840</v>
      </c>
      <c r="E14" s="41" t="s">
        <v>828</v>
      </c>
      <c r="F14" s="42">
        <v>15000</v>
      </c>
      <c r="G14" s="42">
        <v>0.06</v>
      </c>
      <c r="H14" s="42">
        <v>0.06</v>
      </c>
      <c r="I14" s="42">
        <v>1800</v>
      </c>
      <c r="J14" s="42" t="s">
        <v>101</v>
      </c>
      <c r="K14" s="42">
        <v>900</v>
      </c>
      <c r="L14" s="42">
        <v>900</v>
      </c>
      <c r="M14" s="42"/>
      <c r="N14" s="43">
        <f>VLOOKUP(B14,工资表明细!$D$2:$AO$116,38,0)</f>
        <v>900</v>
      </c>
      <c r="O14" s="43">
        <f t="shared" si="0"/>
        <v>0</v>
      </c>
      <c r="P14" s="43">
        <f>VLOOKUP(C14,工资表明细!$N$2:$AO$116,28,0)</f>
        <v>900</v>
      </c>
      <c r="Q14" s="43">
        <f t="shared" si="1"/>
        <v>0</v>
      </c>
      <c r="R14" s="43">
        <f t="shared" si="2"/>
        <v>0</v>
      </c>
      <c r="S14" s="34"/>
      <c r="T14" s="34" t="str">
        <f>VLOOKUP(B14,考勤!D:D,1,0)</f>
        <v>陈晋儒</v>
      </c>
      <c r="U14" s="30">
        <f t="shared" si="3"/>
        <v>1</v>
      </c>
      <c r="V14" s="33">
        <f t="shared" si="4"/>
        <v>1</v>
      </c>
    </row>
    <row r="15" spans="1:22">
      <c r="A15" s="33">
        <v>14</v>
      </c>
      <c r="B15" s="41" t="s">
        <v>186</v>
      </c>
      <c r="C15" s="41" t="s">
        <v>188</v>
      </c>
      <c r="D15" s="41" t="s">
        <v>841</v>
      </c>
      <c r="E15" s="41" t="s">
        <v>828</v>
      </c>
      <c r="F15" s="42">
        <v>44265</v>
      </c>
      <c r="G15" s="42">
        <v>0.06</v>
      </c>
      <c r="H15" s="42">
        <v>0.12</v>
      </c>
      <c r="I15" s="42">
        <v>7967.7</v>
      </c>
      <c r="J15" s="42" t="s">
        <v>101</v>
      </c>
      <c r="K15" s="42">
        <v>2655.9</v>
      </c>
      <c r="L15" s="42">
        <v>5311.8</v>
      </c>
      <c r="M15" s="42"/>
      <c r="N15" s="43">
        <f>VLOOKUP(B15,工资表明细!$D$2:$AO$116,38,0)</f>
        <v>5311.8</v>
      </c>
      <c r="O15" s="43">
        <f t="shared" si="0"/>
        <v>0</v>
      </c>
      <c r="P15" s="43">
        <f>VLOOKUP(C15,工资表明细!$N$2:$AO$116,28,0)</f>
        <v>5311.8</v>
      </c>
      <c r="Q15" s="43">
        <f t="shared" si="1"/>
        <v>0</v>
      </c>
      <c r="R15" s="43">
        <f t="shared" si="2"/>
        <v>0</v>
      </c>
      <c r="S15" s="34"/>
      <c r="T15" s="34" t="str">
        <f>VLOOKUP(B15,考勤!D:D,1,0)</f>
        <v>刘永松</v>
      </c>
      <c r="U15" s="30">
        <f t="shared" si="3"/>
        <v>1</v>
      </c>
      <c r="V15" s="33">
        <f t="shared" si="4"/>
        <v>1</v>
      </c>
    </row>
    <row r="16" spans="1:22">
      <c r="A16" s="33">
        <v>15</v>
      </c>
      <c r="B16" s="41" t="s">
        <v>357</v>
      </c>
      <c r="C16" s="41" t="s">
        <v>358</v>
      </c>
      <c r="D16" s="41" t="s">
        <v>842</v>
      </c>
      <c r="E16" s="41" t="s">
        <v>828</v>
      </c>
      <c r="F16" s="42">
        <v>19000</v>
      </c>
      <c r="G16" s="42">
        <v>0.06</v>
      </c>
      <c r="H16" s="42">
        <v>0.12</v>
      </c>
      <c r="I16" s="42">
        <v>3420</v>
      </c>
      <c r="J16" s="42" t="s">
        <v>101</v>
      </c>
      <c r="K16" s="42">
        <v>1140</v>
      </c>
      <c r="L16" s="42">
        <v>2280</v>
      </c>
      <c r="M16" s="42"/>
      <c r="N16" s="43">
        <f>VLOOKUP(B16,工资表明细!$D$2:$AO$116,38,0)</f>
        <v>2280</v>
      </c>
      <c r="O16" s="43">
        <f t="shared" si="0"/>
        <v>0</v>
      </c>
      <c r="P16" s="43">
        <f>VLOOKUP(C16,工资表明细!$N$2:$AO$116,28,0)</f>
        <v>2280</v>
      </c>
      <c r="Q16" s="43">
        <f t="shared" si="1"/>
        <v>0</v>
      </c>
      <c r="R16" s="43">
        <f t="shared" si="2"/>
        <v>0</v>
      </c>
      <c r="S16" s="34"/>
      <c r="T16" s="34" t="str">
        <f>VLOOKUP(B16,考勤!D:D,1,0)</f>
        <v>方泽斌</v>
      </c>
      <c r="U16" s="30">
        <f t="shared" si="3"/>
        <v>1</v>
      </c>
      <c r="V16" s="33">
        <f t="shared" si="4"/>
        <v>1</v>
      </c>
    </row>
    <row r="17" spans="1:22">
      <c r="A17" s="33">
        <v>16</v>
      </c>
      <c r="B17" s="41" t="s">
        <v>431</v>
      </c>
      <c r="C17" s="41" t="s">
        <v>433</v>
      </c>
      <c r="D17" s="41" t="s">
        <v>843</v>
      </c>
      <c r="E17" s="41" t="s">
        <v>828</v>
      </c>
      <c r="F17" s="42">
        <v>24000</v>
      </c>
      <c r="G17" s="42">
        <v>0.06</v>
      </c>
      <c r="H17" s="42">
        <v>0.06</v>
      </c>
      <c r="I17" s="42">
        <v>2880</v>
      </c>
      <c r="J17" s="42" t="s">
        <v>101</v>
      </c>
      <c r="K17" s="42">
        <v>1440</v>
      </c>
      <c r="L17" s="42">
        <v>1440</v>
      </c>
      <c r="M17" s="42"/>
      <c r="N17" s="43">
        <f>VLOOKUP(B17,工资表明细!$D$2:$AO$116,38,0)</f>
        <v>1440</v>
      </c>
      <c r="O17" s="43">
        <f t="shared" si="0"/>
        <v>0</v>
      </c>
      <c r="P17" s="43">
        <f>VLOOKUP(C17,工资表明细!$N$2:$AO$116,28,0)</f>
        <v>1440</v>
      </c>
      <c r="Q17" s="43">
        <f t="shared" si="1"/>
        <v>0</v>
      </c>
      <c r="R17" s="43">
        <f t="shared" si="2"/>
        <v>0</v>
      </c>
      <c r="S17" s="34"/>
      <c r="T17" s="34" t="str">
        <f>VLOOKUP(B17,考勤!D:D,1,0)</f>
        <v>陈小玲</v>
      </c>
      <c r="U17" s="30">
        <f t="shared" si="3"/>
        <v>1</v>
      </c>
      <c r="V17" s="33">
        <f t="shared" si="4"/>
        <v>1</v>
      </c>
    </row>
    <row r="18" spans="1:22">
      <c r="A18" s="33">
        <v>17</v>
      </c>
      <c r="B18" s="41" t="s">
        <v>196</v>
      </c>
      <c r="C18" s="41" t="s">
        <v>198</v>
      </c>
      <c r="D18" s="41" t="s">
        <v>844</v>
      </c>
      <c r="E18" s="41" t="s">
        <v>828</v>
      </c>
      <c r="F18" s="42">
        <v>18000</v>
      </c>
      <c r="G18" s="42">
        <v>0.06</v>
      </c>
      <c r="H18" s="42">
        <v>0.06</v>
      </c>
      <c r="I18" s="42">
        <v>2160</v>
      </c>
      <c r="J18" s="42" t="s">
        <v>101</v>
      </c>
      <c r="K18" s="42">
        <v>1080</v>
      </c>
      <c r="L18" s="42">
        <v>1080</v>
      </c>
      <c r="M18" s="42"/>
      <c r="N18" s="43">
        <f>VLOOKUP(B18,工资表明细!$D$2:$AO$116,38,0)</f>
        <v>1080</v>
      </c>
      <c r="O18" s="43">
        <f t="shared" si="0"/>
        <v>0</v>
      </c>
      <c r="P18" s="43">
        <f>VLOOKUP(C18,工资表明细!$N$2:$AO$116,28,0)</f>
        <v>1080</v>
      </c>
      <c r="Q18" s="43">
        <f t="shared" si="1"/>
        <v>0</v>
      </c>
      <c r="R18" s="43">
        <f t="shared" si="2"/>
        <v>0</v>
      </c>
      <c r="S18" s="34"/>
      <c r="T18" s="34" t="str">
        <f>VLOOKUP(B18,考勤!D:D,1,0)</f>
        <v>彭星翰</v>
      </c>
      <c r="U18" s="30">
        <f t="shared" si="3"/>
        <v>1</v>
      </c>
      <c r="V18" s="33">
        <f t="shared" si="4"/>
        <v>1</v>
      </c>
    </row>
    <row r="19" spans="1:22">
      <c r="A19" s="33">
        <v>18</v>
      </c>
      <c r="B19" s="41" t="s">
        <v>215</v>
      </c>
      <c r="C19" s="41" t="s">
        <v>216</v>
      </c>
      <c r="D19" s="41" t="s">
        <v>845</v>
      </c>
      <c r="E19" s="41" t="s">
        <v>828</v>
      </c>
      <c r="F19" s="42">
        <v>20000</v>
      </c>
      <c r="G19" s="42">
        <v>0.06</v>
      </c>
      <c r="H19" s="42">
        <v>0.06</v>
      </c>
      <c r="I19" s="42">
        <v>2400</v>
      </c>
      <c r="J19" s="42" t="s">
        <v>101</v>
      </c>
      <c r="K19" s="42">
        <v>1200</v>
      </c>
      <c r="L19" s="42">
        <v>1200</v>
      </c>
      <c r="M19" s="42"/>
      <c r="N19" s="43">
        <f>VLOOKUP(B19,工资表明细!$D$2:$AO$116,38,0)</f>
        <v>1200</v>
      </c>
      <c r="O19" s="43">
        <f t="shared" si="0"/>
        <v>0</v>
      </c>
      <c r="P19" s="43">
        <f>VLOOKUP(C19,工资表明细!$N$2:$AO$116,28,0)</f>
        <v>1200</v>
      </c>
      <c r="Q19" s="43">
        <f t="shared" si="1"/>
        <v>0</v>
      </c>
      <c r="R19" s="43">
        <f t="shared" si="2"/>
        <v>0</v>
      </c>
      <c r="S19" s="34"/>
      <c r="T19" s="34" t="str">
        <f>VLOOKUP(B19,考勤!D:D,1,0)</f>
        <v>杨昭桦</v>
      </c>
      <c r="U19" s="30">
        <f t="shared" si="3"/>
        <v>1</v>
      </c>
      <c r="V19" s="33">
        <f t="shared" si="4"/>
        <v>1</v>
      </c>
    </row>
    <row r="20" spans="1:22">
      <c r="A20" s="33">
        <v>19</v>
      </c>
      <c r="B20" s="41" t="s">
        <v>114</v>
      </c>
      <c r="C20" s="41" t="s">
        <v>116</v>
      </c>
      <c r="D20" s="41" t="s">
        <v>846</v>
      </c>
      <c r="E20" s="41" t="s">
        <v>828</v>
      </c>
      <c r="F20" s="42">
        <v>44265</v>
      </c>
      <c r="G20" s="42">
        <v>0.06</v>
      </c>
      <c r="H20" s="42">
        <v>0.12</v>
      </c>
      <c r="I20" s="42">
        <v>7967.7</v>
      </c>
      <c r="J20" s="42" t="s">
        <v>101</v>
      </c>
      <c r="K20" s="42">
        <v>2655.9</v>
      </c>
      <c r="L20" s="42">
        <v>5311.8</v>
      </c>
      <c r="M20" s="42"/>
      <c r="N20" s="43">
        <f>VLOOKUP(B20,工资表明细!$D$2:$AO$116,38,0)</f>
        <v>5311.8</v>
      </c>
      <c r="O20" s="43">
        <f t="shared" si="0"/>
        <v>0</v>
      </c>
      <c r="P20" s="43">
        <f>VLOOKUP(C20,工资表明细!$N$2:$AO$116,28,0)</f>
        <v>5311.8</v>
      </c>
      <c r="Q20" s="43">
        <f t="shared" si="1"/>
        <v>0</v>
      </c>
      <c r="R20" s="43">
        <f t="shared" si="2"/>
        <v>0</v>
      </c>
      <c r="S20" s="34"/>
      <c r="T20" s="34" t="str">
        <f>VLOOKUP(B20,考勤!D:D,1,0)</f>
        <v>申华</v>
      </c>
      <c r="U20" s="30">
        <f t="shared" si="3"/>
        <v>1</v>
      </c>
      <c r="V20" s="33">
        <f t="shared" si="4"/>
        <v>1</v>
      </c>
    </row>
    <row r="21" spans="1:22">
      <c r="A21" s="33">
        <v>20</v>
      </c>
      <c r="B21" s="41" t="s">
        <v>109</v>
      </c>
      <c r="C21" s="41" t="s">
        <v>111</v>
      </c>
      <c r="D21" s="41" t="s">
        <v>847</v>
      </c>
      <c r="E21" s="41" t="s">
        <v>828</v>
      </c>
      <c r="F21" s="42">
        <v>14000</v>
      </c>
      <c r="G21" s="42">
        <v>0.06</v>
      </c>
      <c r="H21" s="42">
        <v>0.12</v>
      </c>
      <c r="I21" s="42">
        <v>2520</v>
      </c>
      <c r="J21" s="42" t="s">
        <v>101</v>
      </c>
      <c r="K21" s="42">
        <v>840</v>
      </c>
      <c r="L21" s="42">
        <v>1680</v>
      </c>
      <c r="M21" s="42"/>
      <c r="N21" s="43">
        <f>VLOOKUP(B21,工资表明细!$D$2:$AO$116,38,0)</f>
        <v>1680</v>
      </c>
      <c r="O21" s="43">
        <f t="shared" si="0"/>
        <v>0</v>
      </c>
      <c r="P21" s="43">
        <f>VLOOKUP(C21,工资表明细!$N$2:$AO$116,28,0)</f>
        <v>1680</v>
      </c>
      <c r="Q21" s="43">
        <f t="shared" si="1"/>
        <v>0</v>
      </c>
      <c r="R21" s="43">
        <f t="shared" si="2"/>
        <v>0</v>
      </c>
      <c r="S21" s="34"/>
      <c r="T21" s="34" t="str">
        <f>VLOOKUP(B21,考勤!D:D,1,0)</f>
        <v>李奕佳</v>
      </c>
      <c r="U21" s="30">
        <f t="shared" si="3"/>
        <v>1</v>
      </c>
      <c r="V21" s="33">
        <f t="shared" si="4"/>
        <v>1</v>
      </c>
    </row>
    <row r="22" spans="1:22">
      <c r="A22" s="33">
        <v>21</v>
      </c>
      <c r="B22" s="41" t="s">
        <v>161</v>
      </c>
      <c r="C22" s="41" t="s">
        <v>163</v>
      </c>
      <c r="D22" s="41" t="s">
        <v>848</v>
      </c>
      <c r="E22" s="41" t="s">
        <v>828</v>
      </c>
      <c r="F22" s="42">
        <v>20000</v>
      </c>
      <c r="G22" s="42">
        <v>0.06</v>
      </c>
      <c r="H22" s="42">
        <v>0.06</v>
      </c>
      <c r="I22" s="42">
        <v>2400</v>
      </c>
      <c r="J22" s="42" t="s">
        <v>101</v>
      </c>
      <c r="K22" s="42">
        <v>1200</v>
      </c>
      <c r="L22" s="42">
        <v>1200</v>
      </c>
      <c r="M22" s="42"/>
      <c r="N22" s="43">
        <f>VLOOKUP(B22,工资表明细!$D$2:$AO$116,38,0)</f>
        <v>1200</v>
      </c>
      <c r="O22" s="43">
        <f t="shared" si="0"/>
        <v>0</v>
      </c>
      <c r="P22" s="43">
        <f>VLOOKUP(C22,工资表明细!$N$2:$AO$116,28,0)</f>
        <v>1200</v>
      </c>
      <c r="Q22" s="43">
        <f t="shared" si="1"/>
        <v>0</v>
      </c>
      <c r="R22" s="43">
        <f t="shared" si="2"/>
        <v>0</v>
      </c>
      <c r="S22" s="34"/>
      <c r="T22" s="34" t="str">
        <f>VLOOKUP(B22,考勤!D:D,1,0)</f>
        <v>谢华明</v>
      </c>
      <c r="U22" s="30">
        <f t="shared" si="3"/>
        <v>1</v>
      </c>
      <c r="V22" s="33">
        <f t="shared" si="4"/>
        <v>1</v>
      </c>
    </row>
    <row r="23" spans="1:22">
      <c r="A23" s="33">
        <v>22</v>
      </c>
      <c r="B23" s="41" t="s">
        <v>143</v>
      </c>
      <c r="C23" s="41" t="s">
        <v>144</v>
      </c>
      <c r="D23" s="41" t="s">
        <v>849</v>
      </c>
      <c r="E23" s="41" t="s">
        <v>828</v>
      </c>
      <c r="F23" s="42">
        <v>30000</v>
      </c>
      <c r="G23" s="42">
        <v>0.06</v>
      </c>
      <c r="H23" s="42">
        <v>0.12</v>
      </c>
      <c r="I23" s="42">
        <v>5400</v>
      </c>
      <c r="J23" s="42" t="s">
        <v>101</v>
      </c>
      <c r="K23" s="42">
        <v>1800</v>
      </c>
      <c r="L23" s="42">
        <v>3600</v>
      </c>
      <c r="M23" s="42"/>
      <c r="N23" s="43">
        <f>VLOOKUP(B23,工资表明细!$D$2:$AO$116,38,0)</f>
        <v>3600</v>
      </c>
      <c r="O23" s="43">
        <f t="shared" si="0"/>
        <v>0</v>
      </c>
      <c r="P23" s="43">
        <f>VLOOKUP(C23,工资表明细!$N$2:$AO$116,28,0)</f>
        <v>3600</v>
      </c>
      <c r="Q23" s="43">
        <f t="shared" si="1"/>
        <v>0</v>
      </c>
      <c r="R23" s="43">
        <f t="shared" si="2"/>
        <v>0</v>
      </c>
      <c r="S23" s="34"/>
      <c r="T23" s="34" t="str">
        <f>VLOOKUP(B23,考勤!D:D,1,0)</f>
        <v>张磊</v>
      </c>
      <c r="U23" s="30">
        <f t="shared" si="3"/>
        <v>1</v>
      </c>
      <c r="V23" s="33">
        <f t="shared" si="4"/>
        <v>1</v>
      </c>
    </row>
    <row r="24" spans="1:22">
      <c r="A24" s="33">
        <v>23</v>
      </c>
      <c r="B24" s="41" t="s">
        <v>201</v>
      </c>
      <c r="C24" s="41" t="s">
        <v>202</v>
      </c>
      <c r="D24" s="41" t="s">
        <v>850</v>
      </c>
      <c r="E24" s="41" t="s">
        <v>828</v>
      </c>
      <c r="F24" s="42">
        <v>14000</v>
      </c>
      <c r="G24" s="42">
        <v>0.06</v>
      </c>
      <c r="H24" s="42">
        <v>0.06</v>
      </c>
      <c r="I24" s="42">
        <v>1680</v>
      </c>
      <c r="J24" s="42" t="s">
        <v>101</v>
      </c>
      <c r="K24" s="42">
        <v>840</v>
      </c>
      <c r="L24" s="42">
        <v>840</v>
      </c>
      <c r="M24" s="42"/>
      <c r="N24" s="43">
        <f>VLOOKUP(B24,工资表明细!$D$2:$AO$116,38,0)</f>
        <v>840</v>
      </c>
      <c r="O24" s="43">
        <f t="shared" si="0"/>
        <v>0</v>
      </c>
      <c r="P24" s="43">
        <f>VLOOKUP(C24,工资表明细!$N$2:$AO$116,28,0)</f>
        <v>840</v>
      </c>
      <c r="Q24" s="43">
        <f t="shared" si="1"/>
        <v>0</v>
      </c>
      <c r="R24" s="43">
        <f t="shared" si="2"/>
        <v>0</v>
      </c>
      <c r="S24" s="34"/>
      <c r="T24" s="34" t="str">
        <f>VLOOKUP(B24,考勤!D:D,1,0)</f>
        <v>何泽浩</v>
      </c>
      <c r="U24" s="30">
        <f t="shared" si="3"/>
        <v>1</v>
      </c>
      <c r="V24" s="33">
        <f t="shared" si="4"/>
        <v>1</v>
      </c>
    </row>
    <row r="25" spans="1:22">
      <c r="A25" s="33">
        <v>24</v>
      </c>
      <c r="B25" s="41" t="s">
        <v>103</v>
      </c>
      <c r="C25" s="41" t="s">
        <v>106</v>
      </c>
      <c r="D25" s="41" t="s">
        <v>851</v>
      </c>
      <c r="E25" s="41" t="s">
        <v>828</v>
      </c>
      <c r="F25" s="42">
        <v>44265</v>
      </c>
      <c r="G25" s="42">
        <v>0.06</v>
      </c>
      <c r="H25" s="42">
        <v>0.12</v>
      </c>
      <c r="I25" s="42">
        <v>7967.7</v>
      </c>
      <c r="J25" s="42" t="s">
        <v>101</v>
      </c>
      <c r="K25" s="42">
        <v>2655.9</v>
      </c>
      <c r="L25" s="42">
        <v>5311.8</v>
      </c>
      <c r="M25" s="42"/>
      <c r="N25" s="43">
        <f>VLOOKUP(B25,工资表明细!$D$2:$AO$116,38,0)</f>
        <v>5311.8</v>
      </c>
      <c r="O25" s="43">
        <f t="shared" si="0"/>
        <v>0</v>
      </c>
      <c r="P25" s="43">
        <f>VLOOKUP(C25,工资表明细!$N$2:$AO$116,28,0)</f>
        <v>5311.8</v>
      </c>
      <c r="Q25" s="43">
        <f t="shared" si="1"/>
        <v>0</v>
      </c>
      <c r="R25" s="43">
        <f t="shared" si="2"/>
        <v>0</v>
      </c>
      <c r="S25" s="34"/>
      <c r="T25" s="34" t="str">
        <f>VLOOKUP(B25,考勤!D:D,1,0)</f>
        <v>刘丹</v>
      </c>
      <c r="U25" s="30">
        <f t="shared" si="3"/>
        <v>1</v>
      </c>
      <c r="V25" s="33">
        <f t="shared" si="4"/>
        <v>1</v>
      </c>
    </row>
    <row r="26" spans="1:22">
      <c r="A26" s="33">
        <v>25</v>
      </c>
      <c r="B26" s="41" t="s">
        <v>421</v>
      </c>
      <c r="C26" s="41" t="s">
        <v>423</v>
      </c>
      <c r="D26" s="41" t="s">
        <v>852</v>
      </c>
      <c r="E26" s="41" t="s">
        <v>828</v>
      </c>
      <c r="F26" s="42">
        <v>40000</v>
      </c>
      <c r="G26" s="42">
        <v>0.06</v>
      </c>
      <c r="H26" s="42">
        <v>0.06</v>
      </c>
      <c r="I26" s="42">
        <v>4800</v>
      </c>
      <c r="J26" s="42" t="s">
        <v>101</v>
      </c>
      <c r="K26" s="42">
        <v>2400</v>
      </c>
      <c r="L26" s="42">
        <v>2400</v>
      </c>
      <c r="M26" s="42"/>
      <c r="N26" s="43">
        <f>VLOOKUP(B26,工资表明细!$D$2:$AO$116,38,0)</f>
        <v>2400</v>
      </c>
      <c r="O26" s="43">
        <f t="shared" si="0"/>
        <v>0</v>
      </c>
      <c r="P26" s="43">
        <f>VLOOKUP(C26,工资表明细!$N$2:$AO$116,28,0)</f>
        <v>2400</v>
      </c>
      <c r="Q26" s="43">
        <f t="shared" si="1"/>
        <v>0</v>
      </c>
      <c r="R26" s="43">
        <f t="shared" si="2"/>
        <v>0</v>
      </c>
      <c r="S26" s="34"/>
      <c r="T26" s="34" t="str">
        <f>VLOOKUP(B26,考勤!D:D,1,0)</f>
        <v>韩亮</v>
      </c>
      <c r="U26" s="30">
        <f t="shared" si="3"/>
        <v>1</v>
      </c>
      <c r="V26" s="33">
        <f t="shared" si="4"/>
        <v>1</v>
      </c>
    </row>
    <row r="27" spans="1:22">
      <c r="A27" s="33">
        <v>26</v>
      </c>
      <c r="B27" s="41" t="s">
        <v>268</v>
      </c>
      <c r="C27" s="41" t="s">
        <v>270</v>
      </c>
      <c r="D27" s="41" t="s">
        <v>853</v>
      </c>
      <c r="E27" s="41" t="s">
        <v>828</v>
      </c>
      <c r="F27" s="42">
        <v>21000</v>
      </c>
      <c r="G27" s="42">
        <v>0.06</v>
      </c>
      <c r="H27" s="42">
        <v>0.06</v>
      </c>
      <c r="I27" s="42">
        <v>2520</v>
      </c>
      <c r="J27" s="42" t="s">
        <v>101</v>
      </c>
      <c r="K27" s="42">
        <v>1260</v>
      </c>
      <c r="L27" s="42">
        <v>1260</v>
      </c>
      <c r="M27" s="42"/>
      <c r="N27" s="43">
        <f>VLOOKUP(B27,工资表明细!$D$2:$AO$116,38,0)</f>
        <v>1260</v>
      </c>
      <c r="O27" s="43">
        <f t="shared" si="0"/>
        <v>0</v>
      </c>
      <c r="P27" s="43">
        <f>VLOOKUP(C27,工资表明细!$N$2:$AO$116,28,0)</f>
        <v>1260</v>
      </c>
      <c r="Q27" s="43">
        <f t="shared" si="1"/>
        <v>0</v>
      </c>
      <c r="R27" s="43">
        <f t="shared" si="2"/>
        <v>0</v>
      </c>
      <c r="S27" s="34"/>
      <c r="T27" s="34" t="str">
        <f>VLOOKUP(B27,考勤!D:D,1,0)</f>
        <v>路杨</v>
      </c>
      <c r="U27" s="30">
        <f t="shared" si="3"/>
        <v>1</v>
      </c>
      <c r="V27" s="33">
        <f t="shared" si="4"/>
        <v>1</v>
      </c>
    </row>
    <row r="28" spans="1:22">
      <c r="A28" s="33">
        <v>27</v>
      </c>
      <c r="B28" s="41" t="s">
        <v>119</v>
      </c>
      <c r="C28" s="41" t="s">
        <v>121</v>
      </c>
      <c r="D28" s="41" t="s">
        <v>854</v>
      </c>
      <c r="E28" s="41" t="s">
        <v>828</v>
      </c>
      <c r="F28" s="42">
        <v>44265</v>
      </c>
      <c r="G28" s="42">
        <v>0.06</v>
      </c>
      <c r="H28" s="42">
        <v>0.06</v>
      </c>
      <c r="I28" s="42">
        <v>5311.8</v>
      </c>
      <c r="J28" s="42" t="s">
        <v>101</v>
      </c>
      <c r="K28" s="42">
        <v>2655.9</v>
      </c>
      <c r="L28" s="42">
        <v>2655.9</v>
      </c>
      <c r="M28" s="42"/>
      <c r="N28" s="43">
        <f>VLOOKUP(B28,工资表明细!$D$2:$AO$116,38,0)</f>
        <v>2655.9</v>
      </c>
      <c r="O28" s="43">
        <f t="shared" si="0"/>
        <v>0</v>
      </c>
      <c r="P28" s="43">
        <f>VLOOKUP(C28,工资表明细!$N$2:$AO$116,28,0)</f>
        <v>2655.9</v>
      </c>
      <c r="Q28" s="43">
        <f t="shared" si="1"/>
        <v>0</v>
      </c>
      <c r="R28" s="43">
        <f t="shared" si="2"/>
        <v>0</v>
      </c>
      <c r="S28" s="34"/>
      <c r="T28" s="34" t="str">
        <f>VLOOKUP(B28,考勤!D:D,1,0)</f>
        <v>杨晓波</v>
      </c>
      <c r="U28" s="30">
        <f t="shared" si="3"/>
        <v>1</v>
      </c>
      <c r="V28" s="33">
        <f t="shared" si="4"/>
        <v>1</v>
      </c>
    </row>
    <row r="29" spans="1:22">
      <c r="A29" s="33">
        <v>28</v>
      </c>
      <c r="B29" s="41" t="s">
        <v>156</v>
      </c>
      <c r="C29" s="41" t="s">
        <v>158</v>
      </c>
      <c r="D29" s="41" t="s">
        <v>855</v>
      </c>
      <c r="E29" s="41" t="s">
        <v>828</v>
      </c>
      <c r="F29" s="42">
        <v>23000</v>
      </c>
      <c r="G29" s="42">
        <v>0.06</v>
      </c>
      <c r="H29" s="42">
        <v>0.06</v>
      </c>
      <c r="I29" s="42">
        <v>2760</v>
      </c>
      <c r="J29" s="42" t="s">
        <v>101</v>
      </c>
      <c r="K29" s="42">
        <v>1380</v>
      </c>
      <c r="L29" s="42">
        <v>1380</v>
      </c>
      <c r="M29" s="42"/>
      <c r="N29" s="43">
        <f>VLOOKUP(B29,工资表明细!$D$2:$AO$116,38,0)</f>
        <v>1380</v>
      </c>
      <c r="O29" s="43">
        <f t="shared" si="0"/>
        <v>0</v>
      </c>
      <c r="P29" s="43">
        <f>VLOOKUP(C29,工资表明细!$N$2:$AO$116,28,0)</f>
        <v>1380</v>
      </c>
      <c r="Q29" s="43">
        <f t="shared" si="1"/>
        <v>0</v>
      </c>
      <c r="R29" s="43">
        <f t="shared" si="2"/>
        <v>0</v>
      </c>
      <c r="S29" s="34"/>
      <c r="T29" s="34" t="str">
        <f>VLOOKUP(B29,考勤!D:D,1,0)</f>
        <v>胡豪</v>
      </c>
      <c r="U29" s="30">
        <f t="shared" si="3"/>
        <v>1</v>
      </c>
      <c r="V29" s="33">
        <f t="shared" si="4"/>
        <v>1</v>
      </c>
    </row>
    <row r="30" spans="1:22">
      <c r="A30" s="33">
        <v>29</v>
      </c>
      <c r="B30" s="41" t="s">
        <v>139</v>
      </c>
      <c r="C30" s="41" t="s">
        <v>140</v>
      </c>
      <c r="D30" s="41" t="s">
        <v>856</v>
      </c>
      <c r="E30" s="41" t="s">
        <v>828</v>
      </c>
      <c r="F30" s="42">
        <v>30000</v>
      </c>
      <c r="G30" s="42">
        <v>0.06</v>
      </c>
      <c r="H30" s="42">
        <v>0.12</v>
      </c>
      <c r="I30" s="42">
        <v>5400</v>
      </c>
      <c r="J30" s="42" t="s">
        <v>101</v>
      </c>
      <c r="K30" s="42">
        <v>1800</v>
      </c>
      <c r="L30" s="42">
        <v>3600</v>
      </c>
      <c r="M30" s="42"/>
      <c r="N30" s="43">
        <f>VLOOKUP(B30,工资表明细!$D$2:$AO$116,38,0)</f>
        <v>3600</v>
      </c>
      <c r="O30" s="43">
        <f t="shared" si="0"/>
        <v>0</v>
      </c>
      <c r="P30" s="43">
        <f>VLOOKUP(C30,工资表明细!$N$2:$AO$116,28,0)</f>
        <v>3600</v>
      </c>
      <c r="Q30" s="43">
        <f t="shared" si="1"/>
        <v>0</v>
      </c>
      <c r="R30" s="43">
        <f t="shared" si="2"/>
        <v>0</v>
      </c>
      <c r="S30" s="34"/>
      <c r="T30" s="34" t="str">
        <f>VLOOKUP(B30,考勤!D:D,1,0)</f>
        <v>刘奎廷</v>
      </c>
      <c r="U30" s="30">
        <f t="shared" si="3"/>
        <v>1</v>
      </c>
      <c r="V30" s="33">
        <f t="shared" si="4"/>
        <v>1</v>
      </c>
    </row>
    <row r="31" spans="1:22">
      <c r="A31" s="33">
        <v>30</v>
      </c>
      <c r="B31" s="41" t="s">
        <v>210</v>
      </c>
      <c r="C31" s="41" t="s">
        <v>212</v>
      </c>
      <c r="D31" s="41" t="s">
        <v>857</v>
      </c>
      <c r="E31" s="41" t="s">
        <v>828</v>
      </c>
      <c r="F31" s="42">
        <v>19000</v>
      </c>
      <c r="G31" s="42">
        <v>0.06</v>
      </c>
      <c r="H31" s="42">
        <v>0.06</v>
      </c>
      <c r="I31" s="42">
        <v>2280</v>
      </c>
      <c r="J31" s="42" t="s">
        <v>101</v>
      </c>
      <c r="K31" s="42">
        <v>1140</v>
      </c>
      <c r="L31" s="42">
        <v>1140</v>
      </c>
      <c r="M31" s="42"/>
      <c r="N31" s="43">
        <f>VLOOKUP(B31,工资表明细!$D$2:$AO$116,38,0)</f>
        <v>1140</v>
      </c>
      <c r="O31" s="43">
        <f t="shared" si="0"/>
        <v>0</v>
      </c>
      <c r="P31" s="43">
        <f>VLOOKUP(C31,工资表明细!$N$2:$AO$116,28,0)</f>
        <v>1140</v>
      </c>
      <c r="Q31" s="43">
        <f t="shared" si="1"/>
        <v>0</v>
      </c>
      <c r="R31" s="43">
        <f t="shared" si="2"/>
        <v>0</v>
      </c>
      <c r="S31" s="34"/>
      <c r="T31" s="34" t="str">
        <f>VLOOKUP(B31,考勤!D:D,1,0)</f>
        <v>安咛</v>
      </c>
      <c r="U31" s="30">
        <f t="shared" si="3"/>
        <v>1</v>
      </c>
      <c r="V31" s="33">
        <f t="shared" si="4"/>
        <v>1</v>
      </c>
    </row>
    <row r="32" spans="1:22">
      <c r="A32" s="33">
        <v>31</v>
      </c>
      <c r="B32" s="41" t="s">
        <v>394</v>
      </c>
      <c r="C32" s="41" t="s">
        <v>396</v>
      </c>
      <c r="D32" s="41" t="s">
        <v>858</v>
      </c>
      <c r="E32" s="41" t="s">
        <v>828</v>
      </c>
      <c r="F32" s="42">
        <v>15000</v>
      </c>
      <c r="G32" s="42">
        <v>0.06</v>
      </c>
      <c r="H32" s="42">
        <v>0.12</v>
      </c>
      <c r="I32" s="42">
        <v>2700</v>
      </c>
      <c r="J32" s="42" t="s">
        <v>101</v>
      </c>
      <c r="K32" s="42">
        <v>900</v>
      </c>
      <c r="L32" s="42">
        <v>1800</v>
      </c>
      <c r="M32" s="42"/>
      <c r="N32" s="43">
        <f>VLOOKUP(B32,工资表明细!$D$2:$AO$116,38,0)</f>
        <v>1800</v>
      </c>
      <c r="O32" s="43">
        <f t="shared" si="0"/>
        <v>0</v>
      </c>
      <c r="P32" s="43">
        <f>VLOOKUP(C32,工资表明细!$N$2:$AO$116,28,0)</f>
        <v>1800</v>
      </c>
      <c r="Q32" s="43">
        <f t="shared" si="1"/>
        <v>0</v>
      </c>
      <c r="R32" s="43">
        <f t="shared" si="2"/>
        <v>0</v>
      </c>
      <c r="S32" s="34"/>
      <c r="T32" s="34" t="str">
        <f>VLOOKUP(B32,考勤!D:D,1,0)</f>
        <v>刘婷</v>
      </c>
      <c r="U32" s="30">
        <f t="shared" si="3"/>
        <v>1</v>
      </c>
      <c r="V32" s="33">
        <f t="shared" si="4"/>
        <v>1</v>
      </c>
    </row>
    <row r="33" spans="1:22">
      <c r="A33" s="33">
        <v>32</v>
      </c>
      <c r="B33" s="41" t="s">
        <v>297</v>
      </c>
      <c r="C33" s="41" t="s">
        <v>299</v>
      </c>
      <c r="D33" s="41" t="s">
        <v>859</v>
      </c>
      <c r="E33" s="41" t="s">
        <v>828</v>
      </c>
      <c r="F33" s="42">
        <v>14000</v>
      </c>
      <c r="G33" s="42">
        <v>0.06</v>
      </c>
      <c r="H33" s="42">
        <v>0.06</v>
      </c>
      <c r="I33" s="42">
        <v>1680</v>
      </c>
      <c r="J33" s="42" t="s">
        <v>101</v>
      </c>
      <c r="K33" s="42">
        <v>840</v>
      </c>
      <c r="L33" s="42">
        <v>840</v>
      </c>
      <c r="M33" s="42"/>
      <c r="N33" s="43">
        <f>VLOOKUP(B33,工资表明细!$D$2:$AO$116,38,0)</f>
        <v>840</v>
      </c>
      <c r="O33" s="43">
        <f t="shared" si="0"/>
        <v>0</v>
      </c>
      <c r="P33" s="43">
        <f>VLOOKUP(C33,工资表明细!$N$2:$AO$116,28,0)</f>
        <v>840</v>
      </c>
      <c r="Q33" s="43">
        <f t="shared" si="1"/>
        <v>0</v>
      </c>
      <c r="R33" s="43">
        <f t="shared" si="2"/>
        <v>0</v>
      </c>
      <c r="S33" s="34"/>
      <c r="T33" s="34" t="str">
        <f>VLOOKUP(B33,考勤!D:D,1,0)</f>
        <v>李安迪</v>
      </c>
      <c r="U33" s="30">
        <f t="shared" si="3"/>
        <v>1</v>
      </c>
      <c r="V33" s="33">
        <f t="shared" si="4"/>
        <v>1</v>
      </c>
    </row>
    <row r="34" spans="1:22">
      <c r="A34" s="33">
        <v>33</v>
      </c>
      <c r="B34" s="41" t="s">
        <v>399</v>
      </c>
      <c r="C34" s="41" t="s">
        <v>400</v>
      </c>
      <c r="D34" s="41" t="s">
        <v>860</v>
      </c>
      <c r="E34" s="41" t="s">
        <v>828</v>
      </c>
      <c r="F34" s="42">
        <v>28000</v>
      </c>
      <c r="G34" s="42">
        <v>0.06</v>
      </c>
      <c r="H34" s="42">
        <v>0.06</v>
      </c>
      <c r="I34" s="42">
        <v>3360</v>
      </c>
      <c r="J34" s="42" t="s">
        <v>101</v>
      </c>
      <c r="K34" s="42">
        <v>1680</v>
      </c>
      <c r="L34" s="42">
        <v>1680</v>
      </c>
      <c r="M34" s="42"/>
      <c r="N34" s="43">
        <f>VLOOKUP(B34,工资表明细!$D$2:$AO$116,38,0)</f>
        <v>1680</v>
      </c>
      <c r="O34" s="43">
        <f t="shared" si="0"/>
        <v>0</v>
      </c>
      <c r="P34" s="43">
        <f>VLOOKUP(C34,工资表明细!$N$2:$AO$116,28,0)</f>
        <v>1680</v>
      </c>
      <c r="Q34" s="43">
        <f t="shared" si="1"/>
        <v>0</v>
      </c>
      <c r="R34" s="43">
        <f t="shared" si="2"/>
        <v>0</v>
      </c>
      <c r="S34" s="34"/>
      <c r="T34" s="34" t="str">
        <f>VLOOKUP(B34,考勤!D:D,1,0)</f>
        <v>王凡</v>
      </c>
      <c r="U34" s="30">
        <f t="shared" si="3"/>
        <v>1</v>
      </c>
      <c r="V34" s="33">
        <f t="shared" si="4"/>
        <v>1</v>
      </c>
    </row>
    <row r="35" spans="1:22">
      <c r="A35" s="33">
        <v>34</v>
      </c>
      <c r="B35" s="41" t="s">
        <v>337</v>
      </c>
      <c r="C35" s="41" t="s">
        <v>339</v>
      </c>
      <c r="D35" s="41" t="s">
        <v>861</v>
      </c>
      <c r="E35" s="41" t="s">
        <v>828</v>
      </c>
      <c r="F35" s="42">
        <v>18000</v>
      </c>
      <c r="G35" s="42">
        <v>0.06</v>
      </c>
      <c r="H35" s="42">
        <v>0.06</v>
      </c>
      <c r="I35" s="42">
        <v>2160</v>
      </c>
      <c r="J35" s="42" t="s">
        <v>101</v>
      </c>
      <c r="K35" s="42">
        <v>1080</v>
      </c>
      <c r="L35" s="42">
        <v>1080</v>
      </c>
      <c r="M35" s="42"/>
      <c r="N35" s="43">
        <f>VLOOKUP(B35,工资表明细!$D$2:$AO$116,38,0)</f>
        <v>1080</v>
      </c>
      <c r="O35" s="43">
        <f t="shared" si="0"/>
        <v>0</v>
      </c>
      <c r="P35" s="43">
        <f>VLOOKUP(C35,工资表明细!$N$2:$AO$116,28,0)</f>
        <v>1080</v>
      </c>
      <c r="Q35" s="43">
        <f t="shared" si="1"/>
        <v>0</v>
      </c>
      <c r="R35" s="43">
        <f t="shared" si="2"/>
        <v>0</v>
      </c>
      <c r="S35" s="34"/>
      <c r="T35" s="34" t="str">
        <f>VLOOKUP(B35,考勤!D:D,1,0)</f>
        <v>邱瑞沣</v>
      </c>
      <c r="U35" s="30">
        <f t="shared" si="3"/>
        <v>1</v>
      </c>
      <c r="V35" s="33">
        <f t="shared" si="4"/>
        <v>1</v>
      </c>
    </row>
    <row r="36" spans="1:22">
      <c r="A36" s="33">
        <v>35</v>
      </c>
      <c r="B36" s="41" t="s">
        <v>332</v>
      </c>
      <c r="C36" s="41" t="s">
        <v>334</v>
      </c>
      <c r="D36" s="41" t="s">
        <v>862</v>
      </c>
      <c r="E36" s="41" t="s">
        <v>828</v>
      </c>
      <c r="F36" s="42">
        <v>26000</v>
      </c>
      <c r="G36" s="42">
        <v>0.06</v>
      </c>
      <c r="H36" s="42">
        <v>0.06</v>
      </c>
      <c r="I36" s="42">
        <v>3120</v>
      </c>
      <c r="J36" s="42" t="s">
        <v>101</v>
      </c>
      <c r="K36" s="42">
        <v>1560</v>
      </c>
      <c r="L36" s="42">
        <v>1560</v>
      </c>
      <c r="M36" s="42"/>
      <c r="N36" s="43">
        <f>VLOOKUP(B36,工资表明细!$D$2:$AO$116,38,0)</f>
        <v>1560</v>
      </c>
      <c r="O36" s="43">
        <f t="shared" si="0"/>
        <v>0</v>
      </c>
      <c r="P36" s="43">
        <f>VLOOKUP(C36,工资表明细!$N$2:$AO$116,28,0)</f>
        <v>1560</v>
      </c>
      <c r="Q36" s="43">
        <f t="shared" si="1"/>
        <v>0</v>
      </c>
      <c r="R36" s="43">
        <f t="shared" si="2"/>
        <v>0</v>
      </c>
      <c r="S36" s="34"/>
      <c r="T36" s="34" t="str">
        <f>VLOOKUP(B36,考勤!D:D,1,0)</f>
        <v>骆成</v>
      </c>
      <c r="U36" s="30">
        <f t="shared" si="3"/>
        <v>1</v>
      </c>
      <c r="V36" s="33">
        <f t="shared" si="4"/>
        <v>1</v>
      </c>
    </row>
    <row r="37" spans="1:22">
      <c r="A37" s="33">
        <v>36</v>
      </c>
      <c r="B37" s="41" t="s">
        <v>417</v>
      </c>
      <c r="C37" s="41" t="s">
        <v>418</v>
      </c>
      <c r="D37" s="41" t="s">
        <v>863</v>
      </c>
      <c r="E37" s="41" t="s">
        <v>828</v>
      </c>
      <c r="F37" s="42">
        <v>20000</v>
      </c>
      <c r="G37" s="42">
        <v>0.06</v>
      </c>
      <c r="H37" s="42">
        <v>0.06</v>
      </c>
      <c r="I37" s="42">
        <v>2400</v>
      </c>
      <c r="J37" s="42" t="s">
        <v>101</v>
      </c>
      <c r="K37" s="42">
        <v>1200</v>
      </c>
      <c r="L37" s="42">
        <v>1200</v>
      </c>
      <c r="M37" s="42"/>
      <c r="N37" s="43">
        <f>VLOOKUP(B37,工资表明细!$D$2:$AO$116,38,0)</f>
        <v>1200</v>
      </c>
      <c r="O37" s="43">
        <f t="shared" si="0"/>
        <v>0</v>
      </c>
      <c r="P37" s="43">
        <f>VLOOKUP(C37,工资表明细!$N$2:$AO$116,28,0)</f>
        <v>1200</v>
      </c>
      <c r="Q37" s="43">
        <f t="shared" si="1"/>
        <v>0</v>
      </c>
      <c r="R37" s="43">
        <f t="shared" si="2"/>
        <v>0</v>
      </c>
      <c r="S37" s="34"/>
      <c r="T37" s="34" t="str">
        <f>VLOOKUP(B37,考勤!D:D,1,0)</f>
        <v>岑兴满</v>
      </c>
      <c r="U37" s="30">
        <f t="shared" si="3"/>
        <v>1</v>
      </c>
      <c r="V37" s="33">
        <f t="shared" si="4"/>
        <v>1</v>
      </c>
    </row>
    <row r="38" spans="1:22">
      <c r="A38" s="33">
        <v>37</v>
      </c>
      <c r="B38" s="41" t="s">
        <v>322</v>
      </c>
      <c r="C38" s="41" t="s">
        <v>324</v>
      </c>
      <c r="D38" s="41" t="s">
        <v>864</v>
      </c>
      <c r="E38" s="41" t="s">
        <v>828</v>
      </c>
      <c r="F38" s="42">
        <v>15000</v>
      </c>
      <c r="G38" s="42">
        <v>0.06</v>
      </c>
      <c r="H38" s="42">
        <v>0.06</v>
      </c>
      <c r="I38" s="42">
        <v>1800</v>
      </c>
      <c r="J38" s="42" t="s">
        <v>101</v>
      </c>
      <c r="K38" s="42">
        <v>900</v>
      </c>
      <c r="L38" s="42">
        <v>900</v>
      </c>
      <c r="M38" s="42"/>
      <c r="N38" s="43">
        <f>VLOOKUP(B38,工资表明细!$D$2:$AO$116,38,0)</f>
        <v>900</v>
      </c>
      <c r="O38" s="43">
        <f t="shared" si="0"/>
        <v>0</v>
      </c>
      <c r="P38" s="43">
        <f>VLOOKUP(C38,工资表明细!$N$2:$AO$116,28,0)</f>
        <v>900</v>
      </c>
      <c r="Q38" s="43">
        <f t="shared" si="1"/>
        <v>0</v>
      </c>
      <c r="R38" s="43">
        <f t="shared" si="2"/>
        <v>0</v>
      </c>
      <c r="S38" s="34"/>
      <c r="T38" s="34" t="str">
        <f>VLOOKUP(B38,考勤!D:D,1,0)</f>
        <v>肖婷</v>
      </c>
      <c r="U38" s="30">
        <f t="shared" si="3"/>
        <v>1</v>
      </c>
      <c r="V38" s="33">
        <f t="shared" si="4"/>
        <v>1</v>
      </c>
    </row>
    <row r="39" spans="1:22">
      <c r="A39" s="33">
        <v>38</v>
      </c>
      <c r="B39" s="41" t="s">
        <v>176</v>
      </c>
      <c r="C39" s="41" t="s">
        <v>178</v>
      </c>
      <c r="D39" s="41" t="s">
        <v>865</v>
      </c>
      <c r="E39" s="41" t="s">
        <v>828</v>
      </c>
      <c r="F39" s="42">
        <v>25000</v>
      </c>
      <c r="G39" s="42">
        <v>0.06</v>
      </c>
      <c r="H39" s="42">
        <v>0.06</v>
      </c>
      <c r="I39" s="42">
        <v>3000</v>
      </c>
      <c r="J39" s="42" t="s">
        <v>101</v>
      </c>
      <c r="K39" s="42">
        <v>1500</v>
      </c>
      <c r="L39" s="42">
        <v>1500</v>
      </c>
      <c r="M39" s="42"/>
      <c r="N39" s="43">
        <f>VLOOKUP(B39,工资表明细!$D$2:$AO$116,38,0)</f>
        <v>1500</v>
      </c>
      <c r="O39" s="43">
        <f t="shared" si="0"/>
        <v>0</v>
      </c>
      <c r="P39" s="43">
        <f>VLOOKUP(C39,工资表明细!$N$2:$AO$116,28,0)</f>
        <v>1500</v>
      </c>
      <c r="Q39" s="43">
        <f t="shared" si="1"/>
        <v>0</v>
      </c>
      <c r="R39" s="43">
        <f t="shared" si="2"/>
        <v>0</v>
      </c>
      <c r="S39" s="34"/>
      <c r="T39" s="34" t="str">
        <f>VLOOKUP(B39,考勤!D:D,1,0)</f>
        <v>刘禹豪</v>
      </c>
      <c r="U39" s="30">
        <f t="shared" si="3"/>
        <v>1</v>
      </c>
      <c r="V39" s="33">
        <f t="shared" si="4"/>
        <v>1</v>
      </c>
    </row>
    <row r="40" spans="1:22">
      <c r="A40" s="33">
        <v>39</v>
      </c>
      <c r="B40" s="41" t="s">
        <v>258</v>
      </c>
      <c r="C40" s="41" t="s">
        <v>260</v>
      </c>
      <c r="D40" s="41" t="s">
        <v>866</v>
      </c>
      <c r="E40" s="41" t="s">
        <v>828</v>
      </c>
      <c r="F40" s="42">
        <v>30000</v>
      </c>
      <c r="G40" s="42">
        <v>0.06</v>
      </c>
      <c r="H40" s="42">
        <v>0.06</v>
      </c>
      <c r="I40" s="42">
        <v>3600</v>
      </c>
      <c r="J40" s="42" t="s">
        <v>101</v>
      </c>
      <c r="K40" s="42">
        <v>1800</v>
      </c>
      <c r="L40" s="42">
        <v>1800</v>
      </c>
      <c r="M40" s="42"/>
      <c r="N40" s="43">
        <f>VLOOKUP(B40,工资表明细!$D$2:$AO$116,38,0)</f>
        <v>1800</v>
      </c>
      <c r="O40" s="43">
        <f t="shared" si="0"/>
        <v>0</v>
      </c>
      <c r="P40" s="43">
        <f>VLOOKUP(C40,工资表明细!$N$2:$AO$116,28,0)</f>
        <v>1800</v>
      </c>
      <c r="Q40" s="43">
        <f t="shared" si="1"/>
        <v>0</v>
      </c>
      <c r="R40" s="43">
        <f t="shared" si="2"/>
        <v>0</v>
      </c>
      <c r="S40" s="34"/>
      <c r="T40" s="34" t="str">
        <f>VLOOKUP(B40,考勤!D:D,1,0)</f>
        <v>周浩</v>
      </c>
      <c r="U40" s="30">
        <f t="shared" si="3"/>
        <v>1</v>
      </c>
      <c r="V40" s="33">
        <f t="shared" si="4"/>
        <v>1</v>
      </c>
    </row>
    <row r="41" spans="1:22">
      <c r="A41" s="33">
        <v>40</v>
      </c>
      <c r="B41" s="41" t="s">
        <v>263</v>
      </c>
      <c r="C41" s="41" t="s">
        <v>265</v>
      </c>
      <c r="D41" s="41" t="s">
        <v>867</v>
      </c>
      <c r="E41" s="41" t="s">
        <v>828</v>
      </c>
      <c r="F41" s="42">
        <v>44265</v>
      </c>
      <c r="G41" s="42">
        <v>0.06</v>
      </c>
      <c r="H41" s="42">
        <v>0.06</v>
      </c>
      <c r="I41" s="42">
        <v>5311.8</v>
      </c>
      <c r="J41" s="42" t="s">
        <v>101</v>
      </c>
      <c r="K41" s="42">
        <v>2655.9</v>
      </c>
      <c r="L41" s="42">
        <v>2655.9</v>
      </c>
      <c r="M41" s="42"/>
      <c r="N41" s="43">
        <f>VLOOKUP(B41,工资表明细!$D$2:$AO$116,38,0)</f>
        <v>2655.9</v>
      </c>
      <c r="O41" s="43">
        <f t="shared" si="0"/>
        <v>0</v>
      </c>
      <c r="P41" s="43">
        <f>VLOOKUP(C41,工资表明细!$N$2:$AO$116,28,0)</f>
        <v>2655.9</v>
      </c>
      <c r="Q41" s="43">
        <f t="shared" si="1"/>
        <v>0</v>
      </c>
      <c r="R41" s="43">
        <f t="shared" si="2"/>
        <v>0</v>
      </c>
      <c r="S41" s="34"/>
      <c r="T41" s="34" t="str">
        <f>VLOOKUP(B41,考勤!D:D,1,0)</f>
        <v>刘伟</v>
      </c>
      <c r="U41" s="30">
        <f t="shared" si="3"/>
        <v>1</v>
      </c>
      <c r="V41" s="33">
        <f t="shared" si="4"/>
        <v>1</v>
      </c>
    </row>
    <row r="42" spans="1:22">
      <c r="A42" s="33">
        <v>41</v>
      </c>
      <c r="B42" s="41" t="s">
        <v>370</v>
      </c>
      <c r="C42" s="41" t="s">
        <v>372</v>
      </c>
      <c r="D42" s="41" t="s">
        <v>868</v>
      </c>
      <c r="E42" s="41" t="s">
        <v>828</v>
      </c>
      <c r="F42" s="42">
        <v>20000</v>
      </c>
      <c r="G42" s="42">
        <v>0.06</v>
      </c>
      <c r="H42" s="42">
        <v>0.06</v>
      </c>
      <c r="I42" s="42">
        <v>2400</v>
      </c>
      <c r="J42" s="42" t="s">
        <v>101</v>
      </c>
      <c r="K42" s="42">
        <v>1200</v>
      </c>
      <c r="L42" s="42">
        <v>1200</v>
      </c>
      <c r="M42" s="42"/>
      <c r="N42" s="43">
        <f>VLOOKUP(B42,工资表明细!$D$2:$AO$116,38,0)</f>
        <v>1200</v>
      </c>
      <c r="O42" s="43">
        <f t="shared" si="0"/>
        <v>0</v>
      </c>
      <c r="P42" s="43">
        <f>VLOOKUP(C42,工资表明细!$N$2:$AO$116,28,0)</f>
        <v>1200</v>
      </c>
      <c r="Q42" s="43">
        <f t="shared" si="1"/>
        <v>0</v>
      </c>
      <c r="R42" s="43">
        <f t="shared" si="2"/>
        <v>0</v>
      </c>
      <c r="S42" s="34"/>
      <c r="T42" s="34" t="str">
        <f>VLOOKUP(B42,考勤!D:D,1,0)</f>
        <v>陈志鹏</v>
      </c>
      <c r="U42" s="30">
        <f t="shared" si="3"/>
        <v>1</v>
      </c>
      <c r="V42" s="33">
        <f t="shared" si="4"/>
        <v>1</v>
      </c>
    </row>
    <row r="43" spans="1:22">
      <c r="A43" s="33">
        <v>42</v>
      </c>
      <c r="B43" s="41" t="s">
        <v>224</v>
      </c>
      <c r="C43" s="41" t="s">
        <v>226</v>
      </c>
      <c r="D43" s="41" t="s">
        <v>869</v>
      </c>
      <c r="E43" s="41" t="s">
        <v>828</v>
      </c>
      <c r="F43" s="42">
        <v>20000</v>
      </c>
      <c r="G43" s="42">
        <v>0.06</v>
      </c>
      <c r="H43" s="42">
        <v>0.12</v>
      </c>
      <c r="I43" s="42">
        <v>3600</v>
      </c>
      <c r="J43" s="42" t="s">
        <v>101</v>
      </c>
      <c r="K43" s="42">
        <v>1200</v>
      </c>
      <c r="L43" s="42">
        <v>2400</v>
      </c>
      <c r="M43" s="42"/>
      <c r="N43" s="43">
        <f>VLOOKUP(B43,工资表明细!$D$2:$AO$116,38,0)</f>
        <v>2400</v>
      </c>
      <c r="O43" s="43">
        <f t="shared" si="0"/>
        <v>0</v>
      </c>
      <c r="P43" s="43">
        <f>VLOOKUP(C43,工资表明细!$N$2:$AO$116,28,0)</f>
        <v>2400</v>
      </c>
      <c r="Q43" s="43">
        <f t="shared" si="1"/>
        <v>0</v>
      </c>
      <c r="R43" s="43">
        <f t="shared" si="2"/>
        <v>0</v>
      </c>
      <c r="S43" s="34"/>
      <c r="T43" s="34" t="str">
        <f>VLOOKUP(B43,考勤!D:D,1,0)</f>
        <v>李艾龙</v>
      </c>
      <c r="U43" s="30">
        <f t="shared" si="3"/>
        <v>1</v>
      </c>
      <c r="V43" s="33">
        <f t="shared" si="4"/>
        <v>1</v>
      </c>
    </row>
    <row r="44" spans="1:22">
      <c r="A44" s="33">
        <v>43</v>
      </c>
      <c r="B44" s="41" t="s">
        <v>307</v>
      </c>
      <c r="C44" s="41" t="s">
        <v>308</v>
      </c>
      <c r="D44" s="41" t="s">
        <v>870</v>
      </c>
      <c r="E44" s="41" t="s">
        <v>828</v>
      </c>
      <c r="F44" s="42">
        <v>35000</v>
      </c>
      <c r="G44" s="42">
        <v>0.06</v>
      </c>
      <c r="H44" s="42">
        <v>0.06</v>
      </c>
      <c r="I44" s="42">
        <v>4200</v>
      </c>
      <c r="J44" s="42" t="s">
        <v>101</v>
      </c>
      <c r="K44" s="42">
        <v>2100</v>
      </c>
      <c r="L44" s="42">
        <v>2100</v>
      </c>
      <c r="M44" s="42"/>
      <c r="N44" s="43">
        <f>VLOOKUP(B44,工资表明细!$D$2:$AO$116,38,0)</f>
        <v>2100</v>
      </c>
      <c r="O44" s="43">
        <f t="shared" si="0"/>
        <v>0</v>
      </c>
      <c r="P44" s="43">
        <f>VLOOKUP(C44,工资表明细!$N$2:$AO$116,28,0)</f>
        <v>2100</v>
      </c>
      <c r="Q44" s="43">
        <f t="shared" si="1"/>
        <v>0</v>
      </c>
      <c r="R44" s="43">
        <f t="shared" si="2"/>
        <v>0</v>
      </c>
      <c r="S44" s="34"/>
      <c r="T44" s="34" t="str">
        <f>VLOOKUP(B44,考勤!D:D,1,0)</f>
        <v>李杨</v>
      </c>
      <c r="U44" s="30">
        <f t="shared" si="3"/>
        <v>1</v>
      </c>
      <c r="V44" s="33">
        <f t="shared" si="4"/>
        <v>1</v>
      </c>
    </row>
    <row r="45" spans="1:22">
      <c r="A45" s="33">
        <v>44</v>
      </c>
      <c r="B45" s="41" t="s">
        <v>205</v>
      </c>
      <c r="C45" s="41" t="s">
        <v>207</v>
      </c>
      <c r="D45" s="41" t="s">
        <v>871</v>
      </c>
      <c r="E45" s="41" t="s">
        <v>828</v>
      </c>
      <c r="F45" s="42">
        <v>33000</v>
      </c>
      <c r="G45" s="42">
        <v>0.06</v>
      </c>
      <c r="H45" s="42">
        <v>0.12</v>
      </c>
      <c r="I45" s="42">
        <v>5940</v>
      </c>
      <c r="J45" s="42" t="s">
        <v>101</v>
      </c>
      <c r="K45" s="42">
        <v>1980</v>
      </c>
      <c r="L45" s="42">
        <v>3960</v>
      </c>
      <c r="M45" s="42"/>
      <c r="N45" s="43">
        <f>VLOOKUP(B45,工资表明细!$D$2:$AO$116,38,0)</f>
        <v>3960</v>
      </c>
      <c r="O45" s="43">
        <f t="shared" si="0"/>
        <v>0</v>
      </c>
      <c r="P45" s="43">
        <f>VLOOKUP(C45,工资表明细!$N$2:$AO$116,28,0)</f>
        <v>3960</v>
      </c>
      <c r="Q45" s="43">
        <f t="shared" si="1"/>
        <v>0</v>
      </c>
      <c r="R45" s="43">
        <f t="shared" si="2"/>
        <v>0</v>
      </c>
      <c r="S45" s="34"/>
      <c r="T45" s="34" t="str">
        <f>VLOOKUP(B45,考勤!D:D,1,0)</f>
        <v>邱永恒</v>
      </c>
      <c r="U45" s="30">
        <f t="shared" si="3"/>
        <v>1</v>
      </c>
      <c r="V45" s="33">
        <f t="shared" si="4"/>
        <v>1</v>
      </c>
    </row>
    <row r="46" spans="1:22">
      <c r="A46" s="33">
        <v>45</v>
      </c>
      <c r="B46" s="41" t="s">
        <v>229</v>
      </c>
      <c r="C46" s="41" t="s">
        <v>231</v>
      </c>
      <c r="D46" s="41" t="s">
        <v>872</v>
      </c>
      <c r="E46" s="41" t="s">
        <v>828</v>
      </c>
      <c r="F46" s="42">
        <v>25000</v>
      </c>
      <c r="G46" s="42">
        <v>0.06</v>
      </c>
      <c r="H46" s="42">
        <v>0.06</v>
      </c>
      <c r="I46" s="42">
        <v>3000</v>
      </c>
      <c r="J46" s="42" t="s">
        <v>101</v>
      </c>
      <c r="K46" s="42">
        <v>1500</v>
      </c>
      <c r="L46" s="42">
        <v>1500</v>
      </c>
      <c r="M46" s="42"/>
      <c r="N46" s="43">
        <f>VLOOKUP(B46,工资表明细!$D$2:$AO$116,38,0)</f>
        <v>1500</v>
      </c>
      <c r="O46" s="43">
        <f t="shared" si="0"/>
        <v>0</v>
      </c>
      <c r="P46" s="43">
        <f>VLOOKUP(C46,工资表明细!$N$2:$AO$116,28,0)</f>
        <v>1500</v>
      </c>
      <c r="Q46" s="43">
        <f t="shared" si="1"/>
        <v>0</v>
      </c>
      <c r="R46" s="43">
        <f t="shared" si="2"/>
        <v>0</v>
      </c>
      <c r="S46" s="34"/>
      <c r="T46" s="34" t="str">
        <f>VLOOKUP(B46,考勤!D:D,1,0)</f>
        <v>赵旭临</v>
      </c>
      <c r="U46" s="30">
        <f t="shared" si="3"/>
        <v>1</v>
      </c>
      <c r="V46" s="33">
        <f t="shared" si="4"/>
        <v>1</v>
      </c>
    </row>
    <row r="47" spans="1:22">
      <c r="A47" s="33">
        <v>46</v>
      </c>
      <c r="B47" s="6" t="s">
        <v>239</v>
      </c>
      <c r="C47" s="6" t="s">
        <v>240</v>
      </c>
      <c r="D47" s="6" t="s">
        <v>873</v>
      </c>
      <c r="E47" s="6" t="s">
        <v>828</v>
      </c>
      <c r="F47" s="1">
        <v>20000</v>
      </c>
      <c r="G47" s="1">
        <v>0.06</v>
      </c>
      <c r="H47" s="44">
        <v>0.06</v>
      </c>
      <c r="I47" s="45">
        <v>2400</v>
      </c>
      <c r="J47" s="42" t="s">
        <v>101</v>
      </c>
      <c r="K47" s="33">
        <v>1200</v>
      </c>
      <c r="L47" s="33">
        <v>1200</v>
      </c>
      <c r="N47" s="43">
        <f>VLOOKUP(B47,工资表明细!$D$2:$AO$116,38,0)</f>
        <v>1200</v>
      </c>
      <c r="O47" s="43">
        <f t="shared" si="0"/>
        <v>0</v>
      </c>
      <c r="P47" s="43">
        <f>VLOOKUP(C47,工资表明细!$N$2:$AO$116,28,0)</f>
        <v>1200</v>
      </c>
      <c r="Q47" s="43">
        <f t="shared" si="1"/>
        <v>0</v>
      </c>
      <c r="R47" s="43">
        <f t="shared" si="2"/>
        <v>0</v>
      </c>
      <c r="S47" s="34"/>
      <c r="T47" s="34" t="str">
        <f>VLOOKUP(B47,考勤!D:D,1,0)</f>
        <v>朱适</v>
      </c>
      <c r="U47" s="30">
        <f t="shared" si="3"/>
        <v>1</v>
      </c>
      <c r="V47" s="33">
        <f t="shared" si="4"/>
        <v>1</v>
      </c>
    </row>
    <row r="48" spans="1:22">
      <c r="A48" s="33">
        <v>47</v>
      </c>
      <c r="B48" s="6" t="s">
        <v>407</v>
      </c>
      <c r="C48" s="6" t="s">
        <v>409</v>
      </c>
      <c r="D48" s="6" t="s">
        <v>874</v>
      </c>
      <c r="E48" s="6" t="s">
        <v>828</v>
      </c>
      <c r="F48" s="1">
        <v>20000</v>
      </c>
      <c r="G48" s="1">
        <v>0.06</v>
      </c>
      <c r="H48" s="44">
        <v>0.06</v>
      </c>
      <c r="I48" s="45">
        <v>2400</v>
      </c>
      <c r="J48" s="42" t="s">
        <v>101</v>
      </c>
      <c r="K48" s="33">
        <v>1200</v>
      </c>
      <c r="L48" s="33">
        <v>1200</v>
      </c>
      <c r="N48" s="43">
        <f>VLOOKUP(B48,工资表明细!$D$2:$AO$116,38,0)</f>
        <v>1200</v>
      </c>
      <c r="O48" s="43">
        <f t="shared" si="0"/>
        <v>0</v>
      </c>
      <c r="P48" s="43">
        <f>VLOOKUP(C48,工资表明细!$N$2:$AO$116,28,0)</f>
        <v>1200</v>
      </c>
      <c r="Q48" s="43">
        <f t="shared" si="1"/>
        <v>0</v>
      </c>
      <c r="R48" s="43">
        <f t="shared" si="2"/>
        <v>0</v>
      </c>
      <c r="S48" s="34"/>
      <c r="T48" s="34" t="str">
        <f>VLOOKUP(B48,考勤!D:D,1,0)</f>
        <v>申舒婷</v>
      </c>
      <c r="U48" s="30">
        <f t="shared" si="3"/>
        <v>1</v>
      </c>
      <c r="V48" s="33">
        <f t="shared" si="4"/>
        <v>1</v>
      </c>
    </row>
    <row r="49" spans="1:22">
      <c r="A49" s="33">
        <v>48</v>
      </c>
      <c r="B49" s="6" t="s">
        <v>426</v>
      </c>
      <c r="C49" s="6" t="s">
        <v>428</v>
      </c>
      <c r="D49" s="6" t="s">
        <v>875</v>
      </c>
      <c r="E49" s="6" t="s">
        <v>828</v>
      </c>
      <c r="F49" s="1">
        <v>19000</v>
      </c>
      <c r="G49" s="1">
        <v>0.06</v>
      </c>
      <c r="H49" s="44">
        <v>0.06</v>
      </c>
      <c r="I49" s="45">
        <v>2280</v>
      </c>
      <c r="J49" s="42" t="s">
        <v>101</v>
      </c>
      <c r="K49" s="33">
        <v>1140</v>
      </c>
      <c r="L49" s="33">
        <v>1140</v>
      </c>
      <c r="N49" s="43">
        <f>VLOOKUP(B49,工资表明细!$D$2:$AO$116,38,0)</f>
        <v>1140</v>
      </c>
      <c r="O49" s="43">
        <f t="shared" si="0"/>
        <v>0</v>
      </c>
      <c r="P49" s="43">
        <f>VLOOKUP(C49,工资表明细!$N$2:$AO$116,28,0)</f>
        <v>1140</v>
      </c>
      <c r="Q49" s="43">
        <f t="shared" si="1"/>
        <v>0</v>
      </c>
      <c r="R49" s="43">
        <f t="shared" si="2"/>
        <v>0</v>
      </c>
      <c r="S49" s="34"/>
      <c r="T49" s="34" t="str">
        <f>VLOOKUP(B49,考勤!D:D,1,0)</f>
        <v>黄依婷</v>
      </c>
      <c r="U49" s="30">
        <f t="shared" si="3"/>
        <v>1</v>
      </c>
      <c r="V49" s="33">
        <f t="shared" si="4"/>
        <v>1</v>
      </c>
    </row>
    <row r="50" spans="1:22">
      <c r="A50" s="33">
        <v>49</v>
      </c>
      <c r="B50" s="6" t="s">
        <v>171</v>
      </c>
      <c r="C50" s="6" t="s">
        <v>173</v>
      </c>
      <c r="D50" s="6" t="s">
        <v>876</v>
      </c>
      <c r="E50" s="6" t="s">
        <v>828</v>
      </c>
      <c r="F50" s="1">
        <v>15000</v>
      </c>
      <c r="G50" s="1">
        <v>0.06</v>
      </c>
      <c r="H50" s="44">
        <v>0.06</v>
      </c>
      <c r="I50" s="45">
        <v>1800</v>
      </c>
      <c r="J50" s="42" t="s">
        <v>101</v>
      </c>
      <c r="K50" s="33">
        <v>900</v>
      </c>
      <c r="L50" s="33">
        <v>900</v>
      </c>
      <c r="N50" s="43">
        <f>VLOOKUP(B50,工资表明细!$D$2:$AO$116,38,0)</f>
        <v>900</v>
      </c>
      <c r="O50" s="43">
        <f t="shared" si="0"/>
        <v>0</v>
      </c>
      <c r="P50" s="43">
        <f>VLOOKUP(C50,工资表明细!$N$2:$AO$116,28,0)</f>
        <v>900</v>
      </c>
      <c r="Q50" s="43">
        <f t="shared" si="1"/>
        <v>0</v>
      </c>
      <c r="R50" s="43">
        <f t="shared" si="2"/>
        <v>0</v>
      </c>
      <c r="S50" s="34"/>
      <c r="T50" s="34" t="str">
        <f>VLOOKUP(B50,考勤!D:D,1,0)</f>
        <v>张文文</v>
      </c>
      <c r="U50" s="30">
        <f t="shared" si="3"/>
        <v>1</v>
      </c>
      <c r="V50" s="33">
        <f t="shared" si="4"/>
        <v>1</v>
      </c>
    </row>
    <row r="51" spans="1:22">
      <c r="A51" s="33">
        <v>50</v>
      </c>
      <c r="B51" s="6" t="s">
        <v>283</v>
      </c>
      <c r="C51" s="6" t="s">
        <v>285</v>
      </c>
      <c r="D51" s="6" t="s">
        <v>877</v>
      </c>
      <c r="E51" s="6" t="s">
        <v>828</v>
      </c>
      <c r="F51" s="1">
        <v>16000</v>
      </c>
      <c r="G51" s="1">
        <v>0.06</v>
      </c>
      <c r="H51" s="44">
        <v>0.06</v>
      </c>
      <c r="I51" s="45">
        <v>1920</v>
      </c>
      <c r="J51" s="42" t="s">
        <v>101</v>
      </c>
      <c r="K51" s="33">
        <v>960</v>
      </c>
      <c r="L51" s="33">
        <v>960</v>
      </c>
      <c r="N51" s="43">
        <f>VLOOKUP(B51,工资表明细!$D$2:$AO$116,38,0)</f>
        <v>960</v>
      </c>
      <c r="O51" s="43">
        <f t="shared" si="0"/>
        <v>0</v>
      </c>
      <c r="P51" s="43">
        <f>VLOOKUP(C51,工资表明细!$N$2:$AO$116,28,0)</f>
        <v>960</v>
      </c>
      <c r="Q51" s="43">
        <f t="shared" si="1"/>
        <v>0</v>
      </c>
      <c r="R51" s="43">
        <f t="shared" si="2"/>
        <v>0</v>
      </c>
      <c r="S51" s="34"/>
      <c r="T51" s="34" t="str">
        <f>VLOOKUP(B51,考勤!D:D,1,0)</f>
        <v>陈子瑄</v>
      </c>
      <c r="U51" s="30">
        <f t="shared" si="3"/>
        <v>1</v>
      </c>
      <c r="V51" s="33">
        <f t="shared" si="4"/>
        <v>1</v>
      </c>
    </row>
    <row r="52" spans="1:22">
      <c r="A52" s="33">
        <v>51</v>
      </c>
      <c r="B52" s="6" t="s">
        <v>460</v>
      </c>
      <c r="C52" s="6" t="s">
        <v>462</v>
      </c>
      <c r="D52" s="6" t="s">
        <v>878</v>
      </c>
      <c r="E52" s="6" t="s">
        <v>828</v>
      </c>
      <c r="F52" s="1">
        <v>22000</v>
      </c>
      <c r="G52" s="1">
        <v>0.06</v>
      </c>
      <c r="H52" s="44">
        <v>0.06</v>
      </c>
      <c r="I52" s="45">
        <v>2640</v>
      </c>
      <c r="J52" s="42" t="s">
        <v>101</v>
      </c>
      <c r="K52" s="33">
        <v>1320</v>
      </c>
      <c r="L52" s="33">
        <v>1320</v>
      </c>
      <c r="N52" s="43">
        <f>VLOOKUP(B52,工资表明细!$D$2:$AO$116,38,0)</f>
        <v>1320</v>
      </c>
      <c r="O52" s="43">
        <f t="shared" si="0"/>
        <v>0</v>
      </c>
      <c r="P52" s="43">
        <f>VLOOKUP(C52,工资表明细!$N$2:$AO$116,28,0)</f>
        <v>1320</v>
      </c>
      <c r="Q52" s="43">
        <f t="shared" si="1"/>
        <v>0</v>
      </c>
      <c r="R52" s="43">
        <f t="shared" si="2"/>
        <v>0</v>
      </c>
      <c r="S52" s="34"/>
      <c r="T52" s="34" t="str">
        <f>VLOOKUP(B52,考勤!D:D,1,0)</f>
        <v>杨植清</v>
      </c>
      <c r="U52" s="30">
        <f t="shared" si="3"/>
        <v>1</v>
      </c>
      <c r="V52" s="33">
        <f t="shared" si="4"/>
        <v>1</v>
      </c>
    </row>
    <row r="53" spans="1:22">
      <c r="A53" s="33">
        <v>52</v>
      </c>
      <c r="B53" s="6" t="s">
        <v>191</v>
      </c>
      <c r="C53" s="6" t="s">
        <v>193</v>
      </c>
      <c r="D53" s="6" t="s">
        <v>879</v>
      </c>
      <c r="E53" s="6" t="s">
        <v>828</v>
      </c>
      <c r="F53" s="1">
        <v>14000</v>
      </c>
      <c r="G53" s="1">
        <v>0.06</v>
      </c>
      <c r="H53" s="44">
        <v>0.06</v>
      </c>
      <c r="I53" s="45">
        <v>1680</v>
      </c>
      <c r="J53" s="42" t="s">
        <v>101</v>
      </c>
      <c r="K53" s="33">
        <v>840</v>
      </c>
      <c r="L53" s="33">
        <v>840</v>
      </c>
      <c r="N53" s="43">
        <f>VLOOKUP(B53,工资表明细!$D$2:$AO$116,38,0)</f>
        <v>840</v>
      </c>
      <c r="O53" s="43">
        <f t="shared" si="0"/>
        <v>0</v>
      </c>
      <c r="P53" s="43">
        <f>VLOOKUP(C53,工资表明细!$N$2:$AO$116,28,0)</f>
        <v>840</v>
      </c>
      <c r="Q53" s="43">
        <f t="shared" si="1"/>
        <v>0</v>
      </c>
      <c r="R53" s="43">
        <f t="shared" si="2"/>
        <v>0</v>
      </c>
      <c r="S53" s="34"/>
      <c r="T53" s="34" t="str">
        <f>VLOOKUP(B53,考勤!D:D,1,0)</f>
        <v>黄馨玥</v>
      </c>
      <c r="U53" s="30">
        <f t="shared" si="3"/>
        <v>1</v>
      </c>
      <c r="V53" s="33">
        <f t="shared" si="4"/>
        <v>1</v>
      </c>
    </row>
    <row r="54" spans="1:22">
      <c r="A54" s="33">
        <v>53</v>
      </c>
      <c r="B54" s="6" t="s">
        <v>293</v>
      </c>
      <c r="C54" s="6" t="s">
        <v>294</v>
      </c>
      <c r="D54" s="6" t="s">
        <v>880</v>
      </c>
      <c r="E54" s="6" t="s">
        <v>828</v>
      </c>
      <c r="F54" s="1">
        <v>8000</v>
      </c>
      <c r="G54" s="1">
        <v>0.06</v>
      </c>
      <c r="H54" s="44">
        <v>0.06</v>
      </c>
      <c r="I54" s="45">
        <v>960</v>
      </c>
      <c r="J54" s="42" t="s">
        <v>101</v>
      </c>
      <c r="K54" s="33">
        <v>480</v>
      </c>
      <c r="L54" s="33">
        <v>480</v>
      </c>
      <c r="N54" s="43">
        <f>VLOOKUP(B54,工资表明细!$D$2:$AO$116,38,0)</f>
        <v>480</v>
      </c>
      <c r="O54" s="43">
        <f t="shared" si="0"/>
        <v>0</v>
      </c>
      <c r="P54" s="43">
        <f>VLOOKUP(C54,工资表明细!$N$2:$AO$116,28,0)</f>
        <v>480</v>
      </c>
      <c r="Q54" s="43">
        <f t="shared" si="1"/>
        <v>0</v>
      </c>
      <c r="R54" s="43">
        <f t="shared" si="2"/>
        <v>0</v>
      </c>
      <c r="S54" s="34"/>
      <c r="T54" s="34" t="str">
        <f>VLOOKUP(B54,考勤!D:D,1,0)</f>
        <v>陈雨欣</v>
      </c>
      <c r="U54" s="30">
        <f t="shared" si="3"/>
        <v>1</v>
      </c>
      <c r="V54" s="33">
        <f t="shared" si="4"/>
        <v>1</v>
      </c>
    </row>
    <row r="55" spans="1:22">
      <c r="A55" s="33">
        <v>54</v>
      </c>
      <c r="B55" s="6" t="s">
        <v>361</v>
      </c>
      <c r="C55" s="6" t="s">
        <v>362</v>
      </c>
      <c r="D55" s="6" t="s">
        <v>881</v>
      </c>
      <c r="E55" s="6" t="s">
        <v>828</v>
      </c>
      <c r="F55" s="1">
        <v>30000</v>
      </c>
      <c r="G55" s="1">
        <v>0.06</v>
      </c>
      <c r="H55" s="44">
        <v>0.06</v>
      </c>
      <c r="I55" s="45">
        <v>3600</v>
      </c>
      <c r="J55" s="42" t="s">
        <v>101</v>
      </c>
      <c r="K55" s="33">
        <v>1800</v>
      </c>
      <c r="L55" s="33">
        <v>1800</v>
      </c>
      <c r="N55" s="43">
        <f>VLOOKUP(B55,工资表明细!$D$2:$AO$116,38,0)</f>
        <v>1800</v>
      </c>
      <c r="O55" s="43">
        <f t="shared" si="0"/>
        <v>0</v>
      </c>
      <c r="P55" s="43">
        <f>VLOOKUP(C55,工资表明细!$N$2:$AO$116,28,0)</f>
        <v>1800</v>
      </c>
      <c r="Q55" s="43">
        <f t="shared" si="1"/>
        <v>0</v>
      </c>
      <c r="R55" s="43">
        <f t="shared" si="2"/>
        <v>0</v>
      </c>
      <c r="S55" s="34"/>
      <c r="T55" s="34" t="str">
        <f>VLOOKUP(B55,考勤!D:D,1,0)</f>
        <v>赵祎迪</v>
      </c>
      <c r="U55" s="30">
        <f t="shared" si="3"/>
        <v>1</v>
      </c>
      <c r="V55" s="33">
        <f t="shared" si="4"/>
        <v>1</v>
      </c>
    </row>
    <row r="56" spans="1:22">
      <c r="A56" s="33">
        <v>55</v>
      </c>
      <c r="B56" s="6" t="s">
        <v>385</v>
      </c>
      <c r="C56" s="6" t="s">
        <v>386</v>
      </c>
      <c r="D56" s="6" t="s">
        <v>882</v>
      </c>
      <c r="E56" s="6" t="s">
        <v>828</v>
      </c>
      <c r="F56" s="1">
        <v>18000</v>
      </c>
      <c r="G56" s="1">
        <v>0.06</v>
      </c>
      <c r="H56" s="44">
        <v>0.12</v>
      </c>
      <c r="I56" s="45">
        <v>3240</v>
      </c>
      <c r="J56" s="42" t="s">
        <v>101</v>
      </c>
      <c r="K56" s="33">
        <v>1080</v>
      </c>
      <c r="L56" s="33">
        <v>2160</v>
      </c>
      <c r="N56" s="43">
        <f>VLOOKUP(B56,工资表明细!$D$2:$AO$116,38,0)</f>
        <v>2160</v>
      </c>
      <c r="O56" s="43">
        <f t="shared" si="0"/>
        <v>0</v>
      </c>
      <c r="P56" s="43">
        <f>VLOOKUP(C56,工资表明细!$N$2:$AO$116,28,0)</f>
        <v>2160</v>
      </c>
      <c r="Q56" s="43">
        <f t="shared" si="1"/>
        <v>0</v>
      </c>
      <c r="R56" s="43">
        <f t="shared" si="2"/>
        <v>0</v>
      </c>
      <c r="S56" s="34"/>
      <c r="T56" s="34" t="str">
        <f>VLOOKUP(B56,考勤!D:D,1,0)</f>
        <v>刘玉娴</v>
      </c>
      <c r="U56" s="30">
        <f t="shared" si="3"/>
        <v>1</v>
      </c>
      <c r="V56" s="33">
        <f t="shared" si="4"/>
        <v>1</v>
      </c>
    </row>
    <row r="57" spans="1:22">
      <c r="A57" s="33">
        <v>56</v>
      </c>
      <c r="B57" s="6" t="s">
        <v>243</v>
      </c>
      <c r="C57" s="6" t="s">
        <v>245</v>
      </c>
      <c r="D57" s="6" t="s">
        <v>883</v>
      </c>
      <c r="E57" s="6" t="s">
        <v>828</v>
      </c>
      <c r="F57" s="1">
        <v>23000</v>
      </c>
      <c r="G57" s="1">
        <v>0.06</v>
      </c>
      <c r="H57" s="44">
        <v>0.06</v>
      </c>
      <c r="I57" s="45">
        <v>2760</v>
      </c>
      <c r="J57" s="42" t="s">
        <v>101</v>
      </c>
      <c r="K57" s="33">
        <v>1380</v>
      </c>
      <c r="L57" s="33">
        <v>1380</v>
      </c>
      <c r="N57" s="43">
        <f>VLOOKUP(B57,工资表明细!$D$2:$AO$116,38,0)</f>
        <v>1380</v>
      </c>
      <c r="O57" s="43">
        <f t="shared" si="0"/>
        <v>0</v>
      </c>
      <c r="P57" s="43">
        <f>VLOOKUP(C57,工资表明细!$N$2:$AO$116,28,0)</f>
        <v>1380</v>
      </c>
      <c r="Q57" s="43">
        <f t="shared" si="1"/>
        <v>0</v>
      </c>
      <c r="R57" s="43">
        <f t="shared" si="2"/>
        <v>0</v>
      </c>
      <c r="S57" s="34"/>
      <c r="T57" s="34" t="str">
        <f>VLOOKUP(B57,考勤!D:D,1,0)</f>
        <v>谢同</v>
      </c>
      <c r="U57" s="30">
        <f t="shared" si="3"/>
        <v>1</v>
      </c>
      <c r="V57" s="33">
        <f t="shared" si="4"/>
        <v>1</v>
      </c>
    </row>
    <row r="58" spans="1:22">
      <c r="A58" s="33">
        <v>57</v>
      </c>
      <c r="B58" s="6" t="s">
        <v>412</v>
      </c>
      <c r="C58" s="6" t="s">
        <v>414</v>
      </c>
      <c r="D58" s="6" t="s">
        <v>884</v>
      </c>
      <c r="E58" s="6" t="s">
        <v>828</v>
      </c>
      <c r="F58" s="1">
        <v>19000</v>
      </c>
      <c r="G58" s="1">
        <v>0.06</v>
      </c>
      <c r="H58" s="44">
        <v>0.06</v>
      </c>
      <c r="I58" s="45">
        <v>2280</v>
      </c>
      <c r="J58" s="42" t="s">
        <v>101</v>
      </c>
      <c r="K58" s="33">
        <v>1140</v>
      </c>
      <c r="L58" s="33">
        <v>1140</v>
      </c>
      <c r="N58" s="43">
        <f>VLOOKUP(B58,工资表明细!$D$2:$AO$116,38,0)</f>
        <v>1140</v>
      </c>
      <c r="O58" s="43">
        <f t="shared" si="0"/>
        <v>0</v>
      </c>
      <c r="P58" s="43">
        <f>VLOOKUP(C58,工资表明细!$N$2:$AO$116,28,0)</f>
        <v>1140</v>
      </c>
      <c r="Q58" s="43">
        <f t="shared" si="1"/>
        <v>0</v>
      </c>
      <c r="R58" s="43">
        <f t="shared" si="2"/>
        <v>0</v>
      </c>
      <c r="S58" s="34"/>
      <c r="T58" s="34" t="str">
        <f>VLOOKUP(B58,考勤!D:D,1,0)</f>
        <v>刘临风</v>
      </c>
      <c r="U58" s="30">
        <f t="shared" si="3"/>
        <v>1</v>
      </c>
      <c r="V58" s="33">
        <f t="shared" si="4"/>
        <v>1</v>
      </c>
    </row>
    <row r="59" spans="1:22">
      <c r="A59" s="33">
        <v>58</v>
      </c>
      <c r="B59" s="6" t="s">
        <v>380</v>
      </c>
      <c r="C59" s="6" t="s">
        <v>382</v>
      </c>
      <c r="D59" s="6" t="s">
        <v>885</v>
      </c>
      <c r="E59" s="6" t="s">
        <v>828</v>
      </c>
      <c r="F59" s="1">
        <v>13000</v>
      </c>
      <c r="G59" s="1">
        <v>0.06</v>
      </c>
      <c r="H59" s="44">
        <v>0.06</v>
      </c>
      <c r="I59" s="45">
        <v>1560</v>
      </c>
      <c r="J59" s="42" t="s">
        <v>101</v>
      </c>
      <c r="K59" s="33">
        <v>780</v>
      </c>
      <c r="L59" s="33">
        <v>780</v>
      </c>
      <c r="N59" s="43">
        <f>VLOOKUP(B59,工资表明细!$D$2:$AO$116,38,0)</f>
        <v>780</v>
      </c>
      <c r="O59" s="43">
        <f t="shared" si="0"/>
        <v>0</v>
      </c>
      <c r="P59" s="43">
        <f>VLOOKUP(C59,工资表明细!$N$2:$AO$116,28,0)</f>
        <v>780</v>
      </c>
      <c r="Q59" s="43">
        <f t="shared" si="1"/>
        <v>0</v>
      </c>
      <c r="R59" s="43">
        <f t="shared" si="2"/>
        <v>0</v>
      </c>
      <c r="S59" s="34"/>
      <c r="T59" s="34" t="str">
        <f>VLOOKUP(B59,考勤!D:D,1,0)</f>
        <v>张慧翊</v>
      </c>
      <c r="U59" s="30">
        <f t="shared" si="3"/>
        <v>1</v>
      </c>
      <c r="V59" s="33">
        <f t="shared" si="4"/>
        <v>1</v>
      </c>
    </row>
    <row r="60" spans="1:22">
      <c r="A60" s="33">
        <v>59</v>
      </c>
      <c r="B60" s="6" t="s">
        <v>273</v>
      </c>
      <c r="C60" s="6" t="s">
        <v>275</v>
      </c>
      <c r="D60" s="6" t="s">
        <v>886</v>
      </c>
      <c r="E60" s="6" t="s">
        <v>828</v>
      </c>
      <c r="F60" s="1">
        <v>35000</v>
      </c>
      <c r="G60" s="1">
        <v>0.06</v>
      </c>
      <c r="H60" s="44">
        <v>0.06</v>
      </c>
      <c r="I60" s="45">
        <v>4200</v>
      </c>
      <c r="J60" s="42" t="s">
        <v>101</v>
      </c>
      <c r="K60" s="33">
        <v>2100</v>
      </c>
      <c r="L60" s="33">
        <v>2100</v>
      </c>
      <c r="N60" s="43">
        <f>VLOOKUP(B60,工资表明细!$D$2:$AO$116,38,0)</f>
        <v>2100</v>
      </c>
      <c r="O60" s="43">
        <f t="shared" si="0"/>
        <v>0</v>
      </c>
      <c r="P60" s="43">
        <f>VLOOKUP(C60,工资表明细!$N$2:$AO$116,28,0)</f>
        <v>2100</v>
      </c>
      <c r="Q60" s="43">
        <f t="shared" si="1"/>
        <v>0</v>
      </c>
      <c r="R60" s="43">
        <f t="shared" si="2"/>
        <v>0</v>
      </c>
      <c r="S60" s="34"/>
      <c r="T60" s="34" t="str">
        <f>VLOOKUP(B60,考勤!D:D,1,0)</f>
        <v>何洋</v>
      </c>
      <c r="U60" s="30">
        <f t="shared" si="3"/>
        <v>1</v>
      </c>
      <c r="V60" s="33">
        <f t="shared" si="4"/>
        <v>1</v>
      </c>
    </row>
    <row r="61" spans="1:22">
      <c r="A61" s="33">
        <v>60</v>
      </c>
      <c r="B61" s="6" t="s">
        <v>181</v>
      </c>
      <c r="C61" s="6" t="s">
        <v>183</v>
      </c>
      <c r="D61" s="6" t="s">
        <v>887</v>
      </c>
      <c r="E61" s="6" t="s">
        <v>828</v>
      </c>
      <c r="F61" s="1">
        <v>13000</v>
      </c>
      <c r="G61" s="1">
        <v>0.06</v>
      </c>
      <c r="H61" s="44">
        <v>0.06</v>
      </c>
      <c r="I61" s="45">
        <v>1560</v>
      </c>
      <c r="J61" s="42" t="s">
        <v>101</v>
      </c>
      <c r="K61" s="33">
        <v>780</v>
      </c>
      <c r="L61" s="33">
        <v>780</v>
      </c>
      <c r="N61" s="43">
        <f>VLOOKUP(B61,工资表明细!$D$2:$AO$116,38,0)</f>
        <v>780</v>
      </c>
      <c r="O61" s="43">
        <f t="shared" si="0"/>
        <v>0</v>
      </c>
      <c r="P61" s="43">
        <f>VLOOKUP(C61,工资表明细!$N$2:$AO$116,28,0)</f>
        <v>780</v>
      </c>
      <c r="Q61" s="43">
        <f t="shared" si="1"/>
        <v>0</v>
      </c>
      <c r="R61" s="43">
        <f t="shared" si="2"/>
        <v>0</v>
      </c>
      <c r="S61" s="34"/>
      <c r="T61" s="34" t="str">
        <f>VLOOKUP(B61,考勤!D:D,1,0)</f>
        <v>刘锦翔</v>
      </c>
      <c r="U61" s="30">
        <f t="shared" si="3"/>
        <v>1</v>
      </c>
      <c r="V61" s="33">
        <f t="shared" si="4"/>
        <v>1</v>
      </c>
    </row>
    <row r="62" spans="1:22">
      <c r="A62" s="33">
        <v>61</v>
      </c>
      <c r="B62" s="6" t="s">
        <v>134</v>
      </c>
      <c r="C62" s="6" t="s">
        <v>136</v>
      </c>
      <c r="D62" s="6" t="s">
        <v>888</v>
      </c>
      <c r="E62" s="6" t="s">
        <v>828</v>
      </c>
      <c r="F62" s="1">
        <v>18000</v>
      </c>
      <c r="G62" s="1">
        <v>0.06</v>
      </c>
      <c r="H62" s="44">
        <v>0.12</v>
      </c>
      <c r="I62" s="45">
        <v>3240</v>
      </c>
      <c r="J62" s="42" t="s">
        <v>101</v>
      </c>
      <c r="K62" s="33">
        <v>1080</v>
      </c>
      <c r="L62" s="33">
        <v>2160</v>
      </c>
      <c r="N62" s="43">
        <f>VLOOKUP(B62,工资表明细!$D$2:$AO$116,38,0)</f>
        <v>2160</v>
      </c>
      <c r="O62" s="43">
        <f t="shared" si="0"/>
        <v>0</v>
      </c>
      <c r="P62" s="43">
        <f>VLOOKUP(C62,工资表明细!$N$2:$AO$116,28,0)</f>
        <v>2160</v>
      </c>
      <c r="Q62" s="43">
        <f t="shared" si="1"/>
        <v>0</v>
      </c>
      <c r="R62" s="43">
        <f t="shared" si="2"/>
        <v>0</v>
      </c>
      <c r="S62" s="34"/>
      <c r="T62" s="34" t="str">
        <f>VLOOKUP(B62,考勤!D:D,1,0)</f>
        <v>廖斌</v>
      </c>
      <c r="U62" s="30">
        <f t="shared" si="3"/>
        <v>1</v>
      </c>
      <c r="V62" s="33">
        <f t="shared" si="4"/>
        <v>1</v>
      </c>
    </row>
    <row r="63" spans="1:22">
      <c r="A63" s="33">
        <v>62</v>
      </c>
      <c r="B63" s="6" t="s">
        <v>147</v>
      </c>
      <c r="C63" s="6" t="s">
        <v>149</v>
      </c>
      <c r="D63" s="6" t="s">
        <v>889</v>
      </c>
      <c r="E63" s="6" t="s">
        <v>828</v>
      </c>
      <c r="F63" s="1">
        <v>20000</v>
      </c>
      <c r="G63" s="1">
        <v>0.06</v>
      </c>
      <c r="H63" s="44">
        <v>0.06</v>
      </c>
      <c r="I63" s="45">
        <v>2400</v>
      </c>
      <c r="J63" s="42" t="s">
        <v>101</v>
      </c>
      <c r="K63" s="33">
        <v>1200</v>
      </c>
      <c r="L63" s="33">
        <v>1200</v>
      </c>
      <c r="N63" s="43">
        <f>VLOOKUP(B63,工资表明细!$D$2:$AO$116,38,0)</f>
        <v>1200</v>
      </c>
      <c r="O63" s="43">
        <f t="shared" si="0"/>
        <v>0</v>
      </c>
      <c r="P63" s="43">
        <f>VLOOKUP(C63,工资表明细!$N$2:$AO$116,28,0)</f>
        <v>1200</v>
      </c>
      <c r="Q63" s="43">
        <f t="shared" si="1"/>
        <v>0</v>
      </c>
      <c r="R63" s="43">
        <f t="shared" si="2"/>
        <v>0</v>
      </c>
      <c r="S63" s="34"/>
      <c r="T63" s="34" t="str">
        <f>VLOOKUP(B63,考勤!D:D,1,0)</f>
        <v>杨东升</v>
      </c>
      <c r="U63" s="30">
        <f t="shared" si="3"/>
        <v>1</v>
      </c>
      <c r="V63" s="33">
        <f t="shared" si="4"/>
        <v>1</v>
      </c>
    </row>
    <row r="64" spans="1:22">
      <c r="A64" s="33">
        <v>63</v>
      </c>
      <c r="B64" s="6" t="s">
        <v>248</v>
      </c>
      <c r="C64" s="6" t="s">
        <v>250</v>
      </c>
      <c r="D64" s="6" t="s">
        <v>890</v>
      </c>
      <c r="E64" s="6" t="s">
        <v>828</v>
      </c>
      <c r="F64" s="1">
        <v>8000</v>
      </c>
      <c r="G64" s="1">
        <v>0.06</v>
      </c>
      <c r="H64" s="44">
        <v>0.06</v>
      </c>
      <c r="I64" s="45">
        <v>960</v>
      </c>
      <c r="J64" s="42" t="s">
        <v>101</v>
      </c>
      <c r="K64" s="33">
        <v>480</v>
      </c>
      <c r="L64" s="33">
        <v>480</v>
      </c>
      <c r="N64" s="43">
        <f>VLOOKUP(B64,工资表明细!$D$2:$AO$116,38,0)</f>
        <v>480</v>
      </c>
      <c r="O64" s="43">
        <f t="shared" si="0"/>
        <v>0</v>
      </c>
      <c r="P64" s="43">
        <f>VLOOKUP(C64,工资表明细!$N$2:$AO$116,28,0)</f>
        <v>480</v>
      </c>
      <c r="Q64" s="43">
        <f t="shared" si="1"/>
        <v>0</v>
      </c>
      <c r="R64" s="43">
        <f t="shared" si="2"/>
        <v>0</v>
      </c>
      <c r="S64" s="34"/>
      <c r="T64" s="34" t="str">
        <f>VLOOKUP(B64,考勤!D:D,1,0)</f>
        <v>刘培琳</v>
      </c>
      <c r="U64" s="30">
        <f t="shared" si="3"/>
        <v>1</v>
      </c>
      <c r="V64" s="33">
        <f t="shared" si="4"/>
        <v>1</v>
      </c>
    </row>
    <row r="65" spans="1:22">
      <c r="A65" s="33">
        <v>64</v>
      </c>
      <c r="B65" s="6" t="s">
        <v>288</v>
      </c>
      <c r="C65" s="6" t="s">
        <v>290</v>
      </c>
      <c r="D65" s="6" t="s">
        <v>891</v>
      </c>
      <c r="E65" s="6" t="s">
        <v>828</v>
      </c>
      <c r="F65" s="1">
        <v>13000</v>
      </c>
      <c r="G65" s="1">
        <v>0.06</v>
      </c>
      <c r="H65" s="44">
        <v>0.06</v>
      </c>
      <c r="I65" s="45">
        <v>1560</v>
      </c>
      <c r="J65" s="42" t="s">
        <v>101</v>
      </c>
      <c r="K65" s="33">
        <v>780</v>
      </c>
      <c r="L65" s="33">
        <v>780</v>
      </c>
      <c r="N65" s="43">
        <f>VLOOKUP(B65,工资表明细!$D$2:$AO$116,38,0)</f>
        <v>780</v>
      </c>
      <c r="O65" s="43">
        <f t="shared" si="0"/>
        <v>0</v>
      </c>
      <c r="P65" s="43">
        <f>VLOOKUP(C65,工资表明细!$N$2:$AO$116,28,0)</f>
        <v>780</v>
      </c>
      <c r="Q65" s="43">
        <f t="shared" si="1"/>
        <v>0</v>
      </c>
      <c r="R65" s="43">
        <f t="shared" si="2"/>
        <v>0</v>
      </c>
      <c r="S65" s="34"/>
      <c r="T65" s="34" t="str">
        <f>VLOOKUP(B65,考勤!D:D,1,0)</f>
        <v>陈玉莹</v>
      </c>
      <c r="U65" s="30">
        <f t="shared" si="3"/>
        <v>1</v>
      </c>
      <c r="V65" s="33">
        <f t="shared" si="4"/>
        <v>1</v>
      </c>
    </row>
    <row r="66" spans="1:22">
      <c r="A66" s="33">
        <v>65</v>
      </c>
      <c r="B66" s="6" t="s">
        <v>347</v>
      </c>
      <c r="C66" s="6" t="s">
        <v>349</v>
      </c>
      <c r="D66" s="6" t="s">
        <v>892</v>
      </c>
      <c r="E66" s="6" t="s">
        <v>828</v>
      </c>
      <c r="F66" s="1">
        <v>20000</v>
      </c>
      <c r="G66" s="1">
        <v>0.06</v>
      </c>
      <c r="H66" s="44">
        <v>0.06</v>
      </c>
      <c r="I66" s="45">
        <v>2400</v>
      </c>
      <c r="J66" s="42" t="s">
        <v>101</v>
      </c>
      <c r="K66" s="33">
        <v>1200</v>
      </c>
      <c r="L66" s="33">
        <v>1200</v>
      </c>
      <c r="N66" s="43">
        <f>VLOOKUP(B66,工资表明细!$D$2:$AO$116,38,0)</f>
        <v>1200</v>
      </c>
      <c r="O66" s="43">
        <f t="shared" ref="O66:O72" si="5">F66*H66-L66</f>
        <v>0</v>
      </c>
      <c r="P66" s="43">
        <f>VLOOKUP(C66,工资表明细!$N$2:$AO$116,28,0)</f>
        <v>1200</v>
      </c>
      <c r="Q66" s="43">
        <f t="shared" ref="Q66:Q72" si="6">F66*H66-L66</f>
        <v>0</v>
      </c>
      <c r="R66" s="43">
        <f t="shared" ref="R66:R72" si="7">P66+F66*G66-I66</f>
        <v>0</v>
      </c>
      <c r="S66" s="34"/>
      <c r="T66" s="34" t="str">
        <f>VLOOKUP(B66,考勤!D:D,1,0)</f>
        <v>张哲</v>
      </c>
      <c r="U66" s="30">
        <f t="shared" ref="U66:U72" si="8">COUNTIF(B:B,B66)</f>
        <v>1</v>
      </c>
      <c r="V66" s="33">
        <f t="shared" ref="V66:V72" si="9">COUNTIF(C:C,C66)</f>
        <v>1</v>
      </c>
    </row>
    <row r="67" spans="1:22">
      <c r="A67" s="33">
        <v>66</v>
      </c>
      <c r="B67" s="6" t="s">
        <v>451</v>
      </c>
      <c r="C67" s="6" t="s">
        <v>453</v>
      </c>
      <c r="D67" s="6" t="s">
        <v>893</v>
      </c>
      <c r="E67" s="6" t="s">
        <v>828</v>
      </c>
      <c r="F67" s="1">
        <v>8000</v>
      </c>
      <c r="G67" s="1">
        <v>0.06</v>
      </c>
      <c r="H67" s="44">
        <v>0.1</v>
      </c>
      <c r="I67" s="45">
        <v>1280</v>
      </c>
      <c r="J67" s="42" t="s">
        <v>101</v>
      </c>
      <c r="K67" s="33">
        <v>480</v>
      </c>
      <c r="L67" s="33">
        <v>800</v>
      </c>
      <c r="N67" s="43">
        <f>VLOOKUP(B67,工资表明细!$D$2:$AO$116,38,0)</f>
        <v>800</v>
      </c>
      <c r="O67" s="43">
        <f t="shared" si="5"/>
        <v>0</v>
      </c>
      <c r="P67" s="43">
        <f>VLOOKUP(C67,工资表明细!$N$2:$AO$116,28,0)</f>
        <v>800</v>
      </c>
      <c r="Q67" s="43">
        <f t="shared" si="6"/>
        <v>0</v>
      </c>
      <c r="R67" s="43">
        <f t="shared" si="7"/>
        <v>0</v>
      </c>
      <c r="S67" s="34"/>
      <c r="T67" s="34" t="str">
        <f>VLOOKUP(B67,考勤!D:D,1,0)</f>
        <v>麦汝琪</v>
      </c>
      <c r="U67" s="30">
        <f t="shared" si="8"/>
        <v>1</v>
      </c>
      <c r="V67" s="33">
        <f t="shared" si="9"/>
        <v>1</v>
      </c>
    </row>
    <row r="68" spans="1:22">
      <c r="A68" s="33">
        <v>67</v>
      </c>
      <c r="B68" s="6" t="s">
        <v>456</v>
      </c>
      <c r="C68" s="6" t="s">
        <v>457</v>
      </c>
      <c r="D68" s="6" t="s">
        <v>894</v>
      </c>
      <c r="E68" s="6" t="s">
        <v>828</v>
      </c>
      <c r="F68" s="1">
        <v>24000</v>
      </c>
      <c r="G68" s="1">
        <v>0.06</v>
      </c>
      <c r="H68" s="44">
        <v>0.08</v>
      </c>
      <c r="I68" s="45">
        <v>3360</v>
      </c>
      <c r="J68" s="42" t="s">
        <v>101</v>
      </c>
      <c r="K68" s="33">
        <v>1440</v>
      </c>
      <c r="L68" s="33">
        <v>1920</v>
      </c>
      <c r="N68" s="43">
        <f>VLOOKUP(B68,工资表明细!$D$2:$AO$116,38,0)</f>
        <v>1920</v>
      </c>
      <c r="O68" s="43">
        <f t="shared" si="5"/>
        <v>0</v>
      </c>
      <c r="P68" s="43">
        <f>VLOOKUP(C68,工资表明细!$N$2:$AO$116,28,0)</f>
        <v>1920</v>
      </c>
      <c r="Q68" s="43">
        <f t="shared" si="6"/>
        <v>0</v>
      </c>
      <c r="R68" s="43">
        <f t="shared" si="7"/>
        <v>0</v>
      </c>
      <c r="S68" s="34"/>
      <c r="T68" s="34" t="str">
        <f>VLOOKUP(B68,考勤!D:D,1,0)</f>
        <v>郑立文</v>
      </c>
      <c r="U68" s="30">
        <f t="shared" si="8"/>
        <v>1</v>
      </c>
      <c r="V68" s="33">
        <f t="shared" si="9"/>
        <v>1</v>
      </c>
    </row>
    <row r="69" spans="1:22">
      <c r="A69" s="33">
        <v>68</v>
      </c>
      <c r="B69" s="6" t="s">
        <v>375</v>
      </c>
      <c r="C69" s="6" t="s">
        <v>377</v>
      </c>
      <c r="D69" s="6" t="s">
        <v>895</v>
      </c>
      <c r="E69" s="6" t="s">
        <v>828</v>
      </c>
      <c r="F69" s="1">
        <v>10000</v>
      </c>
      <c r="G69" s="1">
        <v>0.06</v>
      </c>
      <c r="H69" s="44">
        <v>0.12</v>
      </c>
      <c r="I69" s="45">
        <v>1800</v>
      </c>
      <c r="J69" s="42" t="s">
        <v>101</v>
      </c>
      <c r="K69" s="33">
        <v>600</v>
      </c>
      <c r="L69" s="33">
        <v>1200</v>
      </c>
      <c r="N69" s="43">
        <f>VLOOKUP(B69,工资表明细!$D$2:$AO$116,38,0)</f>
        <v>1200</v>
      </c>
      <c r="O69" s="43">
        <f t="shared" si="5"/>
        <v>0</v>
      </c>
      <c r="P69" s="43">
        <f>VLOOKUP(C69,工资表明细!$N$2:$AO$116,28,0)</f>
        <v>1200</v>
      </c>
      <c r="Q69" s="43">
        <f t="shared" si="6"/>
        <v>0</v>
      </c>
      <c r="R69" s="43">
        <f t="shared" si="7"/>
        <v>0</v>
      </c>
      <c r="S69" s="34"/>
      <c r="T69" s="34" t="str">
        <f>VLOOKUP(B69,考勤!D:D,1,0)</f>
        <v>梁浩明</v>
      </c>
      <c r="U69" s="30">
        <f t="shared" si="8"/>
        <v>1</v>
      </c>
      <c r="V69" s="33">
        <f t="shared" si="9"/>
        <v>1</v>
      </c>
    </row>
    <row r="70" spans="1:22">
      <c r="A70" s="33">
        <v>69</v>
      </c>
      <c r="B70" s="6" t="s">
        <v>389</v>
      </c>
      <c r="C70" s="6" t="s">
        <v>391</v>
      </c>
      <c r="D70" s="6" t="s">
        <v>896</v>
      </c>
      <c r="E70" s="6" t="s">
        <v>828</v>
      </c>
      <c r="F70" s="1">
        <v>11000</v>
      </c>
      <c r="G70" s="1">
        <v>0.06</v>
      </c>
      <c r="H70" s="44">
        <v>0.06</v>
      </c>
      <c r="I70" s="45">
        <v>1320</v>
      </c>
      <c r="J70" s="42" t="s">
        <v>101</v>
      </c>
      <c r="K70" s="33">
        <v>660</v>
      </c>
      <c r="L70" s="33">
        <v>660</v>
      </c>
      <c r="N70" s="43">
        <f>VLOOKUP(B70,工资表明细!$D$2:$AO$116,38,0)</f>
        <v>660</v>
      </c>
      <c r="O70" s="43">
        <f t="shared" si="5"/>
        <v>0</v>
      </c>
      <c r="P70" s="43">
        <f>VLOOKUP(C70,工资表明细!$N$2:$AO$116,28,0)</f>
        <v>660</v>
      </c>
      <c r="Q70" s="43">
        <f t="shared" si="6"/>
        <v>0</v>
      </c>
      <c r="R70" s="43">
        <f t="shared" si="7"/>
        <v>0</v>
      </c>
      <c r="S70" s="34"/>
      <c r="T70" s="34" t="str">
        <f>VLOOKUP(B70,考勤!D:D,1,0)</f>
        <v>马丹青</v>
      </c>
      <c r="U70" s="30">
        <f t="shared" si="8"/>
        <v>1</v>
      </c>
      <c r="V70" s="33">
        <f t="shared" si="9"/>
        <v>1</v>
      </c>
    </row>
    <row r="71" spans="1:22">
      <c r="A71" s="33">
        <v>70</v>
      </c>
      <c r="B71" s="6" t="s">
        <v>352</v>
      </c>
      <c r="C71" s="6" t="s">
        <v>354</v>
      </c>
      <c r="D71" s="6" t="s">
        <v>897</v>
      </c>
      <c r="E71" s="6" t="s">
        <v>828</v>
      </c>
      <c r="F71" s="1">
        <v>15000</v>
      </c>
      <c r="G71" s="1">
        <v>0.06</v>
      </c>
      <c r="H71" s="44">
        <v>0.06</v>
      </c>
      <c r="I71" s="45">
        <v>1800</v>
      </c>
      <c r="J71" s="42" t="s">
        <v>101</v>
      </c>
      <c r="K71" s="33">
        <v>900</v>
      </c>
      <c r="L71" s="33">
        <v>900</v>
      </c>
      <c r="N71" s="43">
        <f>VLOOKUP(B71,工资表明细!$D$2:$AO$116,38,0)</f>
        <v>900</v>
      </c>
      <c r="O71" s="43">
        <f t="shared" si="5"/>
        <v>0</v>
      </c>
      <c r="P71" s="43">
        <f>VLOOKUP(C71,工资表明细!$N$2:$AO$116,28,0)</f>
        <v>900</v>
      </c>
      <c r="Q71" s="43">
        <f t="shared" si="6"/>
        <v>0</v>
      </c>
      <c r="R71" s="43">
        <f t="shared" si="7"/>
        <v>0</v>
      </c>
      <c r="S71" s="34"/>
      <c r="T71" s="34" t="str">
        <f>VLOOKUP(B71,考勤!D:D,1,0)</f>
        <v>王彦茗</v>
      </c>
      <c r="U71" s="30">
        <f t="shared" si="8"/>
        <v>1</v>
      </c>
      <c r="V71" s="33">
        <f t="shared" si="9"/>
        <v>1</v>
      </c>
    </row>
    <row r="72" spans="1:22">
      <c r="A72" s="33">
        <v>71</v>
      </c>
      <c r="B72" s="6" t="s">
        <v>317</v>
      </c>
      <c r="C72" s="6" t="s">
        <v>319</v>
      </c>
      <c r="D72" s="6" t="s">
        <v>898</v>
      </c>
      <c r="E72" s="6" t="s">
        <v>828</v>
      </c>
      <c r="F72" s="1">
        <v>26000</v>
      </c>
      <c r="G72" s="1">
        <v>0.06</v>
      </c>
      <c r="H72" s="44">
        <v>0.09</v>
      </c>
      <c r="I72" s="45">
        <v>3900</v>
      </c>
      <c r="J72" s="42" t="s">
        <v>101</v>
      </c>
      <c r="K72" s="33">
        <v>1560</v>
      </c>
      <c r="L72" s="33">
        <v>2340</v>
      </c>
      <c r="N72" s="43">
        <f>VLOOKUP(B72,工资表明细!$D$2:$AO$116,38,0)</f>
        <v>2340</v>
      </c>
      <c r="O72" s="43">
        <f t="shared" si="5"/>
        <v>0</v>
      </c>
      <c r="P72" s="43">
        <f>VLOOKUP(C72,工资表明细!$N$2:$AO$116,28,0)</f>
        <v>2340</v>
      </c>
      <c r="Q72" s="43">
        <f t="shared" si="6"/>
        <v>0</v>
      </c>
      <c r="R72" s="43">
        <f t="shared" si="7"/>
        <v>0</v>
      </c>
      <c r="S72" s="34"/>
      <c r="T72" s="34" t="str">
        <f>VLOOKUP(B72,考勤!D:D,1,0)</f>
        <v>吴润泽</v>
      </c>
      <c r="U72" s="30">
        <f t="shared" si="8"/>
        <v>1</v>
      </c>
      <c r="V72" s="33">
        <f t="shared" si="9"/>
        <v>1</v>
      </c>
    </row>
    <row r="73" spans="1:22">
      <c r="A73" s="33"/>
      <c r="B73" s="6"/>
      <c r="C73" s="6"/>
      <c r="D73" s="6"/>
      <c r="E73" s="6"/>
      <c r="H73" s="44"/>
      <c r="I73" s="45"/>
      <c r="J73" s="42"/>
      <c r="K73" s="33"/>
      <c r="L73" s="33"/>
      <c r="N73" s="43"/>
      <c r="O73" s="43"/>
      <c r="P73" s="43"/>
      <c r="Q73" s="43"/>
      <c r="R73" s="43"/>
      <c r="S73" s="34"/>
      <c r="T73" s="34"/>
      <c r="U73" s="30"/>
      <c r="V73" s="33"/>
    </row>
    <row r="74" spans="1:22">
      <c r="A74" s="33"/>
      <c r="B74" s="6"/>
      <c r="C74" s="6"/>
      <c r="D74" s="6"/>
      <c r="E74" s="6"/>
      <c r="H74" s="44"/>
      <c r="I74" s="45"/>
      <c r="J74" s="42"/>
      <c r="K74" s="33"/>
      <c r="L74" s="33"/>
      <c r="N74" s="43"/>
      <c r="O74" s="43"/>
      <c r="P74" s="43"/>
      <c r="Q74" s="43"/>
      <c r="R74" s="43"/>
      <c r="S74" s="34"/>
      <c r="T74" s="34"/>
      <c r="U74" s="30"/>
      <c r="V74" s="33"/>
    </row>
    <row r="75" spans="1:22">
      <c r="A75" s="33"/>
      <c r="B75" s="6"/>
      <c r="C75" s="6"/>
      <c r="D75" s="6"/>
      <c r="E75" s="6"/>
      <c r="H75" s="44"/>
      <c r="I75" s="45"/>
      <c r="J75" s="42"/>
      <c r="K75" s="33"/>
      <c r="L75" s="33"/>
      <c r="N75" s="43"/>
      <c r="O75" s="43"/>
      <c r="P75" s="43"/>
      <c r="Q75" s="43"/>
      <c r="R75" s="43"/>
      <c r="S75" s="34"/>
      <c r="T75" s="34"/>
      <c r="U75" s="30"/>
      <c r="V75" s="33"/>
    </row>
    <row r="76" spans="1:22">
      <c r="A76" s="33"/>
      <c r="B76" s="6"/>
      <c r="C76" s="6"/>
      <c r="D76" s="6"/>
      <c r="E76" s="6"/>
      <c r="H76" s="44"/>
      <c r="I76" s="45"/>
      <c r="J76" s="42"/>
      <c r="K76" s="33"/>
      <c r="L76" s="33"/>
      <c r="N76" s="43"/>
      <c r="O76" s="43"/>
      <c r="P76" s="43"/>
      <c r="Q76" s="43"/>
      <c r="R76" s="43"/>
      <c r="S76" s="34"/>
      <c r="T76" s="34"/>
      <c r="U76" s="30"/>
      <c r="V76" s="33"/>
    </row>
    <row r="77" spans="1:22">
      <c r="A77" s="33"/>
      <c r="B77" s="6"/>
      <c r="C77" s="6"/>
      <c r="D77" s="6"/>
      <c r="E77" s="6"/>
      <c r="H77" s="44"/>
      <c r="I77" s="45"/>
      <c r="J77" s="42"/>
      <c r="K77" s="33"/>
      <c r="L77" s="33"/>
      <c r="N77" s="43"/>
      <c r="O77" s="43"/>
      <c r="P77" s="43"/>
      <c r="Q77" s="43"/>
      <c r="R77" s="43"/>
      <c r="S77" s="34"/>
      <c r="T77" s="34"/>
      <c r="U77" s="30"/>
      <c r="V77" s="33"/>
    </row>
    <row r="78" spans="1:22">
      <c r="A78" s="33"/>
      <c r="B78" s="6"/>
      <c r="C78" s="6"/>
      <c r="D78" s="6"/>
      <c r="E78" s="6"/>
      <c r="H78" s="44"/>
      <c r="I78" s="45"/>
      <c r="J78" s="42"/>
      <c r="K78" s="33"/>
      <c r="L78" s="33"/>
      <c r="N78" s="43"/>
      <c r="O78" s="43"/>
      <c r="P78" s="43"/>
      <c r="Q78" s="43"/>
      <c r="R78" s="43"/>
      <c r="S78" s="34"/>
      <c r="T78" s="34"/>
      <c r="U78" s="30"/>
      <c r="V78" s="33"/>
    </row>
    <row r="79" spans="1:22">
      <c r="A79" s="33"/>
      <c r="B79" s="6"/>
      <c r="C79" s="6"/>
      <c r="D79" s="6"/>
      <c r="E79" s="6"/>
      <c r="H79" s="44"/>
      <c r="I79" s="45"/>
      <c r="J79" s="42"/>
      <c r="K79" s="33"/>
      <c r="L79" s="33"/>
      <c r="N79" s="43"/>
      <c r="O79" s="43"/>
      <c r="P79" s="43"/>
      <c r="Q79" s="43"/>
      <c r="R79" s="43"/>
      <c r="S79" s="34"/>
      <c r="T79" s="34"/>
      <c r="U79" s="30"/>
      <c r="V79" s="33"/>
    </row>
    <row r="80" spans="1:22">
      <c r="B80" s="6"/>
      <c r="C80" s="6"/>
      <c r="D80" s="6"/>
      <c r="E80" s="6"/>
      <c r="H80" s="44"/>
      <c r="I80" s="4"/>
      <c r="S80" s="6"/>
      <c r="T80" s="6"/>
    </row>
    <row r="81" spans="2:21">
      <c r="B81" s="6"/>
      <c r="C81" s="6"/>
      <c r="D81" s="6"/>
      <c r="E81" s="6"/>
      <c r="H81" s="44"/>
      <c r="I81" s="4"/>
      <c r="S81" s="6"/>
      <c r="T81" s="6"/>
    </row>
    <row r="82" spans="2:21">
      <c r="B82" s="6"/>
      <c r="C82" s="6"/>
      <c r="D82" s="6"/>
      <c r="E82" s="6"/>
      <c r="H82" s="44"/>
      <c r="I82" s="4"/>
      <c r="S82" s="6"/>
      <c r="T82" s="6"/>
      <c r="U82" s="1">
        <f>SUM(U1:U79)</f>
        <v>71</v>
      </c>
    </row>
    <row r="83" spans="2:21">
      <c r="B83" s="6"/>
      <c r="C83" s="6"/>
      <c r="D83" s="6"/>
      <c r="E83" s="6"/>
      <c r="I83" s="4">
        <f>SUM(I1:I82)</f>
        <v>230028.5</v>
      </c>
      <c r="L83" s="4">
        <f>SUM(L2:L82)</f>
        <v>131083.1</v>
      </c>
      <c r="S83" s="6"/>
      <c r="T83" s="6"/>
    </row>
    <row r="84" spans="2:21">
      <c r="B84" s="6"/>
      <c r="C84" s="6"/>
      <c r="D84" s="6"/>
      <c r="E84" s="6"/>
      <c r="H84" s="46" t="s">
        <v>783</v>
      </c>
      <c r="I84" s="47"/>
      <c r="L84" s="48">
        <f>L83-工资表明细!AO83</f>
        <v>0</v>
      </c>
      <c r="S84" s="6"/>
      <c r="T84" s="6"/>
    </row>
    <row r="85" spans="2:21">
      <c r="B85" s="6"/>
      <c r="C85" s="6"/>
      <c r="D85" s="6"/>
      <c r="E85" s="6"/>
      <c r="S85" s="6"/>
      <c r="T85" s="6"/>
    </row>
    <row r="86" spans="2:21">
      <c r="B86" s="6"/>
      <c r="C86" s="6"/>
      <c r="D86" s="6"/>
      <c r="E86" s="6"/>
      <c r="H86" s="1" t="s">
        <v>816</v>
      </c>
      <c r="I86" s="3">
        <v>180490.8</v>
      </c>
      <c r="S86" s="6"/>
      <c r="T86" s="6"/>
    </row>
    <row r="87" spans="2:21">
      <c r="B87" s="6"/>
      <c r="C87" s="6"/>
      <c r="D87" s="6"/>
      <c r="E87" s="6"/>
      <c r="H87" s="45" t="s">
        <v>817</v>
      </c>
      <c r="I87" s="3">
        <f>I83-I86</f>
        <v>49537.7</v>
      </c>
      <c r="S87" s="6"/>
      <c r="T87" s="6"/>
    </row>
    <row r="88" spans="2:21">
      <c r="B88" s="6"/>
      <c r="C88" s="6"/>
      <c r="D88" s="6"/>
      <c r="E88" s="6"/>
      <c r="S88" s="6"/>
      <c r="T88" s="6"/>
    </row>
    <row r="89" spans="2:21">
      <c r="B89" s="6"/>
      <c r="C89" s="6"/>
      <c r="D89" s="6"/>
      <c r="E89" s="6"/>
      <c r="S89" s="6"/>
      <c r="T89" s="6"/>
    </row>
    <row r="90" spans="2:21">
      <c r="B90" s="6"/>
      <c r="C90" s="6"/>
      <c r="D90" s="6"/>
      <c r="E90" s="6"/>
      <c r="S90" s="6"/>
      <c r="T90" s="6"/>
    </row>
  </sheetData>
  <autoFilter xmlns:etc="http://www.wps.cn/officeDocument/2017/etCustomData" ref="A1:AA7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2">
    <tabColor rgb="FF92D050"/>
  </sheetPr>
  <dimension ref="A1:Q14"/>
  <sheetViews>
    <sheetView showGridLines="0" workbookViewId="0">
      <pane xSplit="3" ySplit="1" topLeftCell="D2" activePane="bottomRight" state="frozen"/>
      <selection/>
      <selection pane="topRight"/>
      <selection pane="bottomLeft"/>
      <selection pane="bottomRight" activeCell="Q7" sqref="Q7"/>
    </sheetView>
  </sheetViews>
  <sheetFormatPr defaultColWidth="9" defaultRowHeight="15.95" customHeight="1"/>
  <cols>
    <col min="1" max="1" width="7.14285714285714" style="1" customWidth="1"/>
    <col min="2" max="2" width="11.2857142857143" style="2" customWidth="1"/>
    <col min="3" max="3" width="11" style="2" customWidth="1"/>
    <col min="4" max="4" width="15.7142857142857" style="3" customWidth="1"/>
    <col min="5" max="6" width="14.1428571428571" style="3" customWidth="1"/>
    <col min="7" max="7" width="14.2857142857143" style="3" customWidth="1"/>
    <col min="8" max="9" width="14.1428571428571" style="3" customWidth="1"/>
    <col min="10" max="10" width="12.5714285714286" style="3" customWidth="1"/>
    <col min="11" max="11" width="13.1428571428571" style="2" customWidth="1"/>
    <col min="12" max="12" width="12.7142857142857" style="2" customWidth="1"/>
    <col min="13" max="13" width="17" style="3" customWidth="1"/>
    <col min="14" max="14" width="9" style="2"/>
    <col min="15" max="15" width="9" style="1" customWidth="1"/>
    <col min="16" max="16" width="14.4285714285714" style="1" customWidth="1"/>
    <col min="17" max="17" width="11.5714285714286" style="2" customWidth="1"/>
    <col min="18" max="18" width="20.2857142857143" style="2"/>
    <col min="19" max="19" width="16" style="2" customWidth="1"/>
    <col min="20" max="16384" width="9" style="2"/>
  </cols>
  <sheetData>
    <row r="1" s="18" customFormat="1" ht="33" spans="1:17">
      <c r="A1" s="19" t="s">
        <v>70</v>
      </c>
      <c r="B1" s="20" t="s">
        <v>72</v>
      </c>
      <c r="C1" s="20" t="s">
        <v>73</v>
      </c>
      <c r="D1" s="21" t="s">
        <v>82</v>
      </c>
      <c r="E1" s="21" t="s">
        <v>83</v>
      </c>
      <c r="F1" s="21" t="s">
        <v>84</v>
      </c>
      <c r="G1" s="21" t="s">
        <v>85</v>
      </c>
      <c r="H1" s="21" t="s">
        <v>86</v>
      </c>
      <c r="I1" s="21" t="s">
        <v>899</v>
      </c>
      <c r="J1" s="21" t="s">
        <v>88</v>
      </c>
      <c r="K1" s="18" t="s">
        <v>900</v>
      </c>
      <c r="L1" s="22" t="s">
        <v>528</v>
      </c>
      <c r="M1" s="23" t="s">
        <v>48</v>
      </c>
      <c r="O1" s="24" t="s">
        <v>783</v>
      </c>
      <c r="P1" s="24" t="s">
        <v>784</v>
      </c>
      <c r="Q1" s="25" t="s">
        <v>77</v>
      </c>
    </row>
    <row r="2" customHeight="1" spans="1:17">
      <c r="A2" s="26">
        <v>1</v>
      </c>
      <c r="B2" s="27" t="s">
        <v>341</v>
      </c>
      <c r="C2" s="27" t="s">
        <v>342</v>
      </c>
      <c r="D2" s="28">
        <v>0</v>
      </c>
      <c r="E2" s="28">
        <v>0</v>
      </c>
      <c r="F2" s="28">
        <v>0</v>
      </c>
      <c r="G2" s="28">
        <v>0</v>
      </c>
      <c r="H2" s="28">
        <v>4500</v>
      </c>
      <c r="I2" s="28">
        <v>0</v>
      </c>
      <c r="J2" s="28">
        <v>0</v>
      </c>
      <c r="K2" s="29">
        <f>VLOOKUP(B2,工资表明细!$C$2:$AP$252,40,0)</f>
        <v>0</v>
      </c>
      <c r="L2" s="29">
        <f>D2-K2</f>
        <v>0</v>
      </c>
      <c r="M2" s="3">
        <f t="shared" ref="M2:M8" si="0">SUM(D2:J2)</f>
        <v>4500</v>
      </c>
      <c r="O2" s="30" t="str">
        <f>VLOOKUP(B2,考勤!C:F,2,0)</f>
        <v>王生强</v>
      </c>
      <c r="P2" s="30">
        <f t="shared" ref="P2:P8" si="1">IF(C2=O2,1)</f>
        <v>1</v>
      </c>
      <c r="Q2" s="31">
        <f>VLOOKUP(B2,工资表明细!$C$2:$I$495,7,0)</f>
        <v>0</v>
      </c>
    </row>
    <row r="3" customHeight="1" spans="1:17">
      <c r="A3" s="26">
        <v>2</v>
      </c>
      <c r="B3" s="27" t="s">
        <v>223</v>
      </c>
      <c r="C3" s="27" t="s">
        <v>224</v>
      </c>
      <c r="D3" s="28">
        <v>0</v>
      </c>
      <c r="E3" s="28">
        <v>0</v>
      </c>
      <c r="F3" s="28">
        <v>7000</v>
      </c>
      <c r="G3" s="28">
        <v>0</v>
      </c>
      <c r="H3" s="28">
        <v>0</v>
      </c>
      <c r="I3" s="28">
        <v>0</v>
      </c>
      <c r="J3" s="28">
        <v>0</v>
      </c>
      <c r="K3" s="29">
        <f>VLOOKUP(B3,工资表明细!$C$2:$AP$252,40,0)</f>
        <v>0</v>
      </c>
      <c r="L3" s="29">
        <f>D3-K3</f>
        <v>0</v>
      </c>
      <c r="M3" s="3">
        <f t="shared" si="0"/>
        <v>7000</v>
      </c>
      <c r="O3" s="30" t="str">
        <f>VLOOKUP(B3,考勤!C:F,2,0)</f>
        <v>李艾龙</v>
      </c>
      <c r="P3" s="30">
        <f t="shared" si="1"/>
        <v>1</v>
      </c>
      <c r="Q3" s="31">
        <f>VLOOKUP(B3,工资表明细!$C$2:$I$495,7,0)</f>
        <v>0</v>
      </c>
    </row>
    <row r="4" customHeight="1" spans="1:17">
      <c r="A4" s="26">
        <v>3</v>
      </c>
      <c r="B4" s="27" t="s">
        <v>247</v>
      </c>
      <c r="C4" s="27" t="s">
        <v>248</v>
      </c>
      <c r="D4" s="28">
        <v>0</v>
      </c>
      <c r="E4" s="28">
        <v>0</v>
      </c>
      <c r="F4" s="28">
        <v>0</v>
      </c>
      <c r="G4" s="28">
        <v>9000</v>
      </c>
      <c r="H4" s="28">
        <v>0</v>
      </c>
      <c r="I4" s="28">
        <v>0</v>
      </c>
      <c r="J4" s="28">
        <v>0</v>
      </c>
      <c r="K4" s="29">
        <f>VLOOKUP(B4,工资表明细!$C$2:$AP$252,40,0)</f>
        <v>0</v>
      </c>
      <c r="L4" s="29">
        <f>D4-K4</f>
        <v>0</v>
      </c>
      <c r="M4" s="3">
        <f t="shared" si="0"/>
        <v>9000</v>
      </c>
      <c r="O4" s="30" t="str">
        <f>VLOOKUP(B4,考勤!C:F,2,0)</f>
        <v>刘培琳</v>
      </c>
      <c r="P4" s="30">
        <f t="shared" si="1"/>
        <v>1</v>
      </c>
      <c r="Q4" s="31">
        <f>VLOOKUP(B4,工资表明细!$C$2:$I$495,7,0)</f>
        <v>0</v>
      </c>
    </row>
    <row r="5" customHeight="1" spans="1:17">
      <c r="A5" s="26">
        <v>4</v>
      </c>
      <c r="B5" s="27" t="s">
        <v>180</v>
      </c>
      <c r="C5" s="27" t="s">
        <v>181</v>
      </c>
      <c r="D5" s="28">
        <v>0</v>
      </c>
      <c r="E5" s="28">
        <v>0</v>
      </c>
      <c r="F5" s="28">
        <v>0</v>
      </c>
      <c r="G5" s="28">
        <v>10500</v>
      </c>
      <c r="H5" s="28">
        <v>0</v>
      </c>
      <c r="I5" s="28">
        <v>0</v>
      </c>
      <c r="J5" s="28">
        <v>0</v>
      </c>
      <c r="K5" s="29">
        <f>VLOOKUP(B5,工资表明细!$C$2:$AP$252,40,0)</f>
        <v>0</v>
      </c>
      <c r="L5" s="29">
        <f>D5-K5</f>
        <v>0</v>
      </c>
      <c r="M5" s="3">
        <f t="shared" si="0"/>
        <v>10500</v>
      </c>
      <c r="O5" s="30" t="str">
        <f>VLOOKUP(B5,考勤!C:F,2,0)</f>
        <v>刘锦翔</v>
      </c>
      <c r="P5" s="30">
        <f t="shared" si="1"/>
        <v>1</v>
      </c>
      <c r="Q5" s="31">
        <f>VLOOKUP(B5,工资表明细!$C$2:$I$495,7,0)</f>
        <v>0</v>
      </c>
    </row>
    <row r="6" customHeight="1" spans="1:17">
      <c r="A6" s="26">
        <v>5</v>
      </c>
      <c r="B6" s="27" t="s">
        <v>185</v>
      </c>
      <c r="C6" s="27" t="s">
        <v>186</v>
      </c>
      <c r="D6" s="28">
        <v>28000</v>
      </c>
      <c r="E6" s="28">
        <v>0</v>
      </c>
      <c r="F6" s="28">
        <v>7000</v>
      </c>
      <c r="G6" s="28">
        <v>0</v>
      </c>
      <c r="H6" s="28">
        <v>10500</v>
      </c>
      <c r="I6" s="28">
        <v>0</v>
      </c>
      <c r="J6" s="28">
        <v>0</v>
      </c>
      <c r="K6" s="29">
        <f>VLOOKUP(B6,工资表明细!$C$2:$AP$252,40,0)</f>
        <v>28000</v>
      </c>
      <c r="L6" s="29">
        <f>D6-K6</f>
        <v>0</v>
      </c>
      <c r="M6" s="3">
        <f t="shared" si="0"/>
        <v>45500</v>
      </c>
      <c r="O6" s="30" t="str">
        <f>VLOOKUP(B6,考勤!C:F,2,0)</f>
        <v>刘永松</v>
      </c>
      <c r="P6" s="30">
        <f t="shared" si="1"/>
        <v>1</v>
      </c>
      <c r="Q6" s="31">
        <f>VLOOKUP(B6,工资表明细!$C$2:$I$495,7,0)</f>
        <v>0</v>
      </c>
    </row>
    <row r="7" customHeight="1" spans="1:17">
      <c r="A7" s="26">
        <v>6</v>
      </c>
      <c r="B7" s="27" t="s">
        <v>108</v>
      </c>
      <c r="C7" s="27" t="s">
        <v>109</v>
      </c>
      <c r="D7" s="28">
        <v>0</v>
      </c>
      <c r="E7" s="28">
        <v>0</v>
      </c>
      <c r="F7" s="28">
        <v>0</v>
      </c>
      <c r="G7" s="28">
        <v>10500</v>
      </c>
      <c r="H7" s="28">
        <v>0</v>
      </c>
      <c r="I7" s="28">
        <v>0</v>
      </c>
      <c r="J7" s="28">
        <v>0</v>
      </c>
      <c r="K7" s="29"/>
      <c r="L7" s="29"/>
      <c r="M7" s="3">
        <f t="shared" si="0"/>
        <v>10500</v>
      </c>
      <c r="O7" s="30" t="str">
        <f>VLOOKUP(B7,考勤!C:F,2,0)</f>
        <v>李奕佳</v>
      </c>
      <c r="P7" s="30">
        <f t="shared" si="1"/>
        <v>1</v>
      </c>
      <c r="Q7" s="31">
        <f>VLOOKUP(B7,工资表明细!$C$2:$I$495,7,0)</f>
        <v>0</v>
      </c>
    </row>
    <row r="8" customHeight="1" spans="1:17">
      <c r="A8" s="26">
        <v>7</v>
      </c>
      <c r="B8" s="27" t="s">
        <v>160</v>
      </c>
      <c r="C8" s="27" t="s">
        <v>161</v>
      </c>
      <c r="D8" s="28">
        <v>14000</v>
      </c>
      <c r="E8" s="28">
        <v>0</v>
      </c>
      <c r="F8" s="28">
        <v>0</v>
      </c>
      <c r="G8" s="28">
        <v>0</v>
      </c>
      <c r="H8" s="28">
        <v>21000</v>
      </c>
      <c r="I8" s="28">
        <v>0</v>
      </c>
      <c r="J8" s="28">
        <v>0</v>
      </c>
      <c r="K8" s="29">
        <f>VLOOKUP(B8,工资表明细!$C$2:$AP$252,40,0)</f>
        <v>14000</v>
      </c>
      <c r="L8" s="29">
        <f>D8-K8</f>
        <v>0</v>
      </c>
      <c r="M8" s="3">
        <f t="shared" si="0"/>
        <v>35000</v>
      </c>
      <c r="O8" s="30" t="str">
        <f>VLOOKUP(B8,考勤!C:F,2,0)</f>
        <v>谢华明</v>
      </c>
      <c r="P8" s="30">
        <f t="shared" si="1"/>
        <v>1</v>
      </c>
      <c r="Q8" s="31">
        <f>VLOOKUP(B8,工资表明细!$C$2:$I$495,7,0)</f>
        <v>0</v>
      </c>
    </row>
    <row r="13" ht="16.5" spans="1:17">
      <c r="C13" s="2" t="s">
        <v>48</v>
      </c>
      <c r="D13" s="3">
        <f t="shared" ref="D13:J13" si="2">SUM(D2:D12)</f>
        <v>42000</v>
      </c>
      <c r="E13" s="3">
        <f t="shared" si="2"/>
        <v>0</v>
      </c>
      <c r="F13" s="3">
        <f t="shared" si="2"/>
        <v>14000</v>
      </c>
      <c r="G13" s="3">
        <f t="shared" si="2"/>
        <v>30000</v>
      </c>
      <c r="H13" s="3">
        <f t="shared" si="2"/>
        <v>36000</v>
      </c>
      <c r="I13" s="3">
        <f t="shared" si="2"/>
        <v>0</v>
      </c>
      <c r="J13" s="3">
        <f t="shared" si="2"/>
        <v>0</v>
      </c>
    </row>
    <row r="14" customHeight="1" spans="1:17">
      <c r="C14" s="2" t="s">
        <v>528</v>
      </c>
      <c r="D14" s="3">
        <f>D13-工资表明细!AP83</f>
        <v>0</v>
      </c>
      <c r="E14" s="3">
        <f>E13-工资表明细!AQ83</f>
        <v>0</v>
      </c>
      <c r="F14" s="3">
        <f>F13-工资表明细!AR83</f>
        <v>0</v>
      </c>
      <c r="G14" s="3">
        <f>G13-工资表明细!AS83</f>
        <v>0</v>
      </c>
      <c r="H14" s="3">
        <f>H13-工资表明细!AT83</f>
        <v>0</v>
      </c>
      <c r="I14" s="3">
        <f>I13-工资表明细!AU83</f>
        <v>0</v>
      </c>
      <c r="J14" s="3">
        <f>J13-工资表明细!AV83</f>
        <v>0</v>
      </c>
    </row>
  </sheetData>
  <autoFilter xmlns:etc="http://www.wps.cn/officeDocument/2017/etCustomData" ref="A1:S8" etc:filterBottomFollowUsedRange="0">
    <extLst/>
  </autoFilter>
  <pageMargins left="0.699305555555556" right="0.699305555555556" top="0.75" bottom="0.75" header="0.3" footer="0.3"/>
  <pageSetup paperSize="9"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12">
    <tabColor rgb="FF92D050"/>
  </sheetPr>
  <dimension ref="A1:S395"/>
  <sheetViews>
    <sheetView workbookViewId="0">
      <pane xSplit="5" ySplit="1" topLeftCell="K346" activePane="bottomRight" state="frozen"/>
      <selection/>
      <selection pane="topRight"/>
      <selection pane="bottomLeft"/>
      <selection pane="bottomRight" activeCell="S331" sqref="S331"/>
    </sheetView>
  </sheetViews>
  <sheetFormatPr defaultColWidth="9.14285714285714" defaultRowHeight="16.5"/>
  <cols>
    <col min="1" max="1" width="6.14285714285714" style="1" customWidth="1"/>
    <col min="2" max="2" width="12.2857142857143" style="2" customWidth="1"/>
    <col min="3" max="3" width="12.1428571428571" style="2" customWidth="1"/>
    <col min="4" max="4" width="13.4285714285714" style="2" customWidth="1"/>
    <col min="5" max="5" width="16.2857142857143" style="3" customWidth="1"/>
    <col min="6" max="6" width="13.4285714285714" style="3" customWidth="1"/>
    <col min="7" max="8" width="12.2857142857143" style="3" customWidth="1"/>
    <col min="9" max="9" width="15.2857142857143" style="3" customWidth="1"/>
    <col min="10" max="10" width="14.5714285714286" style="3" customWidth="1"/>
    <col min="11" max="11" width="18.5714285714286" style="3" customWidth="1"/>
    <col min="12" max="12" width="18.5714285714286" style="4" customWidth="1"/>
    <col min="13" max="13" width="23" style="5" customWidth="1"/>
    <col min="14" max="14" width="14.4285714285714" style="3"/>
    <col min="15" max="15" width="11.4285714285714" style="5"/>
    <col min="16" max="16" width="14.4285714285714" style="6" customWidth="1"/>
    <col min="17" max="17" width="15.1428571428571" style="7" customWidth="1"/>
    <col min="18" max="18" width="13" style="7" customWidth="1"/>
    <col min="19" max="19" width="17.2857142857143" style="7" customWidth="1"/>
    <col min="20" max="20" width="16.1428571428571" style="3" customWidth="1"/>
    <col min="21" max="21" width="11.4285714285714" style="1" customWidth="1"/>
    <col min="22" max="22" width="14.4285714285714" style="1"/>
    <col min="23" max="25" width="9.14285714285714" style="1"/>
    <col min="26" max="26" width="9.14285714285714" style="3"/>
    <col min="27" max="29" width="8" style="3" customWidth="1"/>
    <col min="30" max="30" width="8" style="2" customWidth="1"/>
    <col min="31" max="16384" width="9.14285714285714" style="2"/>
  </cols>
  <sheetData>
    <row r="1" ht="15.75" customHeight="1" spans="1:19">
      <c r="A1" s="8" t="s">
        <v>70</v>
      </c>
      <c r="B1" s="9" t="s">
        <v>501</v>
      </c>
      <c r="C1" s="10" t="s">
        <v>72</v>
      </c>
      <c r="D1" s="10" t="s">
        <v>73</v>
      </c>
      <c r="E1" s="11" t="s">
        <v>20</v>
      </c>
      <c r="F1" s="11" t="s">
        <v>26</v>
      </c>
      <c r="G1" s="11" t="s">
        <v>27</v>
      </c>
      <c r="H1" s="11" t="s">
        <v>28</v>
      </c>
      <c r="I1" s="11" t="s">
        <v>29</v>
      </c>
      <c r="J1" s="12" t="s">
        <v>89</v>
      </c>
      <c r="K1" s="13" t="s">
        <v>90</v>
      </c>
      <c r="L1" s="13" t="s">
        <v>901</v>
      </c>
      <c r="M1" s="14" t="s">
        <v>902</v>
      </c>
      <c r="N1" s="15" t="s">
        <v>50</v>
      </c>
      <c r="O1" s="16" t="s">
        <v>903</v>
      </c>
    </row>
    <row r="2" spans="1:19">
      <c r="A2" s="1">
        <v>1</v>
      </c>
      <c r="B2" s="2" t="s">
        <v>101</v>
      </c>
      <c r="C2" s="2" t="s">
        <v>102</v>
      </c>
      <c r="D2" s="2" t="s">
        <v>103</v>
      </c>
      <c r="E2" s="3">
        <v>50000</v>
      </c>
      <c r="F2" s="3">
        <v>2203.92</v>
      </c>
      <c r="G2" s="3">
        <v>673.32</v>
      </c>
      <c r="H2" s="3">
        <v>88.53</v>
      </c>
      <c r="I2" s="3">
        <v>2655.9</v>
      </c>
      <c r="J2" s="3">
        <v>5000</v>
      </c>
      <c r="K2" s="3">
        <v>10621.67</v>
      </c>
      <c r="L2" s="4">
        <v>1417.83</v>
      </c>
      <c r="M2" s="5">
        <v>45992</v>
      </c>
      <c r="N2" s="3">
        <f t="shared" ref="N2:N65" si="0">K2-F2-G2-H2-I2-J2</f>
        <v>0</v>
      </c>
    </row>
    <row r="3" spans="1:19">
      <c r="A3" s="1">
        <v>2</v>
      </c>
      <c r="B3" s="2" t="s">
        <v>101</v>
      </c>
      <c r="C3" s="2" t="s">
        <v>108</v>
      </c>
      <c r="D3" s="2" t="s">
        <v>109</v>
      </c>
      <c r="E3" s="3">
        <v>14000</v>
      </c>
      <c r="F3" s="3">
        <v>1120</v>
      </c>
      <c r="G3" s="3">
        <v>280</v>
      </c>
      <c r="H3" s="3">
        <v>28</v>
      </c>
      <c r="I3" s="3">
        <v>840</v>
      </c>
      <c r="J3" s="3">
        <v>5000</v>
      </c>
      <c r="K3" s="3">
        <v>7268</v>
      </c>
      <c r="L3" s="4">
        <v>201.96</v>
      </c>
      <c r="M3" s="5">
        <v>45992</v>
      </c>
      <c r="N3" s="3">
        <f t="shared" si="0"/>
        <v>0</v>
      </c>
    </row>
    <row r="4" spans="1:19">
      <c r="A4" s="1">
        <v>3</v>
      </c>
      <c r="B4" s="2" t="s">
        <v>101</v>
      </c>
      <c r="C4" s="2" t="s">
        <v>113</v>
      </c>
      <c r="D4" s="2" t="s">
        <v>114</v>
      </c>
      <c r="E4" s="3">
        <v>50000</v>
      </c>
      <c r="F4" s="3">
        <v>2203.92</v>
      </c>
      <c r="G4" s="3">
        <v>673.32</v>
      </c>
      <c r="H4" s="3">
        <v>88.53</v>
      </c>
      <c r="I4" s="3">
        <v>2655.9</v>
      </c>
      <c r="J4" s="3">
        <v>5000</v>
      </c>
      <c r="K4" s="3">
        <v>10621.67</v>
      </c>
      <c r="L4" s="4">
        <v>1417.83</v>
      </c>
      <c r="M4" s="5">
        <v>45992</v>
      </c>
      <c r="N4" s="3">
        <f t="shared" si="0"/>
        <v>0</v>
      </c>
      <c r="Q4" s="7" t="s">
        <v>20</v>
      </c>
      <c r="R4" s="7" t="s">
        <v>90</v>
      </c>
      <c r="S4" s="7" t="s">
        <v>901</v>
      </c>
    </row>
    <row r="5" spans="1:19">
      <c r="A5" s="1">
        <v>4</v>
      </c>
      <c r="B5" s="2" t="s">
        <v>101</v>
      </c>
      <c r="C5" s="2" t="s">
        <v>118</v>
      </c>
      <c r="D5" s="2" t="s">
        <v>119</v>
      </c>
      <c r="E5" s="3">
        <v>48000</v>
      </c>
      <c r="F5" s="3">
        <v>2203.92</v>
      </c>
      <c r="G5" s="3">
        <v>673.32</v>
      </c>
      <c r="H5" s="3">
        <v>88.53</v>
      </c>
      <c r="I5" s="3">
        <v>2655.9</v>
      </c>
      <c r="J5" s="3">
        <v>5000</v>
      </c>
      <c r="K5" s="3">
        <v>10621.67</v>
      </c>
      <c r="L5" s="4">
        <v>1217.83</v>
      </c>
      <c r="M5" s="5">
        <v>45992</v>
      </c>
      <c r="N5" s="3">
        <f t="shared" si="0"/>
        <v>0</v>
      </c>
      <c r="Q5" s="7">
        <f>SUM(E2:E47)</f>
        <v>1157834.76</v>
      </c>
      <c r="R5" s="7">
        <f>SUM(K2:K47)</f>
        <v>400025.42</v>
      </c>
      <c r="S5" s="7">
        <f>SUM(L2:L47)</f>
        <v>23657.37</v>
      </c>
    </row>
    <row r="6" spans="1:19">
      <c r="A6" s="1">
        <v>5</v>
      </c>
      <c r="B6" s="2" t="s">
        <v>101</v>
      </c>
      <c r="C6" s="2" t="s">
        <v>123</v>
      </c>
      <c r="D6" s="2" t="s">
        <v>124</v>
      </c>
      <c r="E6" s="3">
        <v>45000</v>
      </c>
      <c r="F6" s="3">
        <v>2203.92</v>
      </c>
      <c r="G6" s="3">
        <v>673.32</v>
      </c>
      <c r="H6" s="3">
        <v>88.53</v>
      </c>
      <c r="I6" s="3">
        <v>2655.9</v>
      </c>
      <c r="J6" s="3">
        <v>5000</v>
      </c>
      <c r="K6" s="3">
        <v>10621.67</v>
      </c>
      <c r="L6" s="4">
        <v>1031.35</v>
      </c>
      <c r="M6" s="5">
        <v>45992</v>
      </c>
      <c r="N6" s="3">
        <f t="shared" si="0"/>
        <v>0</v>
      </c>
    </row>
    <row r="7" spans="1:19">
      <c r="A7" s="1">
        <v>6</v>
      </c>
      <c r="B7" s="2" t="s">
        <v>101</v>
      </c>
      <c r="C7" s="2" t="s">
        <v>128</v>
      </c>
      <c r="D7" s="2" t="s">
        <v>129</v>
      </c>
      <c r="E7" s="3">
        <v>35000</v>
      </c>
      <c r="F7" s="3">
        <v>0</v>
      </c>
      <c r="G7" s="3">
        <v>0</v>
      </c>
      <c r="H7" s="3">
        <v>0</v>
      </c>
      <c r="I7" s="3">
        <v>0</v>
      </c>
      <c r="J7" s="3">
        <v>5000</v>
      </c>
      <c r="K7" s="3">
        <v>5000</v>
      </c>
      <c r="L7" s="4">
        <v>900</v>
      </c>
      <c r="M7" s="5">
        <v>45992</v>
      </c>
      <c r="N7" s="3">
        <f t="shared" si="0"/>
        <v>0</v>
      </c>
      <c r="Q7" s="7">
        <v>1157834.76</v>
      </c>
      <c r="R7" s="7">
        <v>400025.42</v>
      </c>
      <c r="S7" s="7">
        <v>23657.37</v>
      </c>
    </row>
    <row r="8" spans="1:19">
      <c r="A8" s="1">
        <v>7</v>
      </c>
      <c r="B8" s="2" t="s">
        <v>101</v>
      </c>
      <c r="C8" s="2" t="s">
        <v>133</v>
      </c>
      <c r="D8" s="2" t="s">
        <v>134</v>
      </c>
      <c r="E8" s="3">
        <v>18000</v>
      </c>
      <c r="F8" s="3">
        <v>1440</v>
      </c>
      <c r="G8" s="3">
        <v>360</v>
      </c>
      <c r="H8" s="3">
        <v>36</v>
      </c>
      <c r="I8" s="3">
        <v>1080</v>
      </c>
      <c r="J8" s="3">
        <v>5000</v>
      </c>
      <c r="K8" s="3">
        <v>7916</v>
      </c>
      <c r="L8" s="4">
        <v>302.52</v>
      </c>
      <c r="M8" s="5">
        <v>45992</v>
      </c>
      <c r="N8" s="3">
        <f t="shared" si="0"/>
        <v>0</v>
      </c>
    </row>
    <row r="9" spans="1:19">
      <c r="A9" s="1">
        <v>8</v>
      </c>
      <c r="B9" s="2" t="s">
        <v>101</v>
      </c>
      <c r="C9" s="2" t="s">
        <v>138</v>
      </c>
      <c r="D9" s="2" t="s">
        <v>139</v>
      </c>
      <c r="E9" s="3">
        <v>30000</v>
      </c>
      <c r="F9" s="3">
        <v>2203.92</v>
      </c>
      <c r="G9" s="3">
        <v>600</v>
      </c>
      <c r="H9" s="3">
        <v>60</v>
      </c>
      <c r="I9" s="3">
        <v>1800</v>
      </c>
      <c r="J9" s="3">
        <v>5000</v>
      </c>
      <c r="K9" s="3">
        <v>9663.92</v>
      </c>
      <c r="L9" s="4">
        <v>610.08</v>
      </c>
      <c r="M9" s="5">
        <v>45992</v>
      </c>
      <c r="N9" s="3">
        <f t="shared" si="0"/>
        <v>0</v>
      </c>
      <c r="Q9" s="7">
        <f>Q5-Q7</f>
        <v>0</v>
      </c>
      <c r="R9" s="7">
        <f>R5-R7</f>
        <v>0</v>
      </c>
      <c r="S9" s="7">
        <f>S5-S7</f>
        <v>0</v>
      </c>
    </row>
    <row r="10" spans="1:19">
      <c r="A10" s="1">
        <v>9</v>
      </c>
      <c r="B10" s="2" t="s">
        <v>101</v>
      </c>
      <c r="C10" s="2" t="s">
        <v>904</v>
      </c>
      <c r="D10" s="2" t="s">
        <v>905</v>
      </c>
      <c r="E10" s="3">
        <v>32000</v>
      </c>
      <c r="F10" s="3">
        <v>2203.92</v>
      </c>
      <c r="G10" s="3">
        <v>640</v>
      </c>
      <c r="H10" s="3">
        <v>64</v>
      </c>
      <c r="I10" s="3">
        <v>1920</v>
      </c>
      <c r="J10" s="3">
        <v>5000</v>
      </c>
      <c r="K10" s="3">
        <v>9827.92</v>
      </c>
      <c r="L10" s="4">
        <v>665.16</v>
      </c>
      <c r="M10" s="5">
        <v>45992</v>
      </c>
      <c r="N10" s="3">
        <f t="shared" si="0"/>
        <v>0</v>
      </c>
    </row>
    <row r="11" spans="1:19">
      <c r="A11" s="1">
        <v>10</v>
      </c>
      <c r="B11" s="2" t="s">
        <v>101</v>
      </c>
      <c r="C11" s="2" t="s">
        <v>906</v>
      </c>
      <c r="D11" s="2" t="s">
        <v>907</v>
      </c>
      <c r="E11" s="3">
        <v>36000</v>
      </c>
      <c r="F11" s="3">
        <v>2203.92</v>
      </c>
      <c r="G11" s="3">
        <v>673.32</v>
      </c>
      <c r="H11" s="3">
        <v>72</v>
      </c>
      <c r="I11" s="3">
        <v>2160</v>
      </c>
      <c r="J11" s="3">
        <v>5000</v>
      </c>
      <c r="K11" s="3">
        <v>10109.24</v>
      </c>
      <c r="L11" s="4">
        <v>776.72</v>
      </c>
      <c r="M11" s="5">
        <v>45992</v>
      </c>
      <c r="N11" s="3">
        <f t="shared" si="0"/>
        <v>0</v>
      </c>
    </row>
    <row r="12" spans="1:19">
      <c r="A12" s="1">
        <v>11</v>
      </c>
      <c r="B12" s="2" t="s">
        <v>101</v>
      </c>
      <c r="C12" s="2" t="s">
        <v>908</v>
      </c>
      <c r="D12" s="2" t="s">
        <v>909</v>
      </c>
      <c r="E12" s="3">
        <v>30000</v>
      </c>
      <c r="F12" s="3">
        <v>2203.92</v>
      </c>
      <c r="G12" s="3">
        <v>600</v>
      </c>
      <c r="H12" s="3">
        <v>60</v>
      </c>
      <c r="I12" s="3">
        <v>1800</v>
      </c>
      <c r="J12" s="3">
        <v>5000</v>
      </c>
      <c r="K12" s="3">
        <v>9663.92</v>
      </c>
      <c r="L12" s="4">
        <v>610.08</v>
      </c>
      <c r="M12" s="5">
        <v>45992</v>
      </c>
      <c r="N12" s="3">
        <f t="shared" si="0"/>
        <v>0</v>
      </c>
    </row>
    <row r="13" spans="1:19">
      <c r="A13" s="1">
        <v>12</v>
      </c>
      <c r="B13" s="2" t="s">
        <v>101</v>
      </c>
      <c r="C13" s="2" t="s">
        <v>142</v>
      </c>
      <c r="D13" s="2" t="s">
        <v>143</v>
      </c>
      <c r="E13" s="3">
        <v>30000</v>
      </c>
      <c r="F13" s="3">
        <v>2203.92</v>
      </c>
      <c r="G13" s="3">
        <v>600</v>
      </c>
      <c r="H13" s="3">
        <v>60</v>
      </c>
      <c r="I13" s="3">
        <v>1800</v>
      </c>
      <c r="J13" s="3">
        <v>5000</v>
      </c>
      <c r="K13" s="3">
        <v>9663.92</v>
      </c>
      <c r="L13" s="4">
        <v>610.08</v>
      </c>
      <c r="M13" s="5">
        <v>45992</v>
      </c>
      <c r="N13" s="3">
        <f t="shared" si="0"/>
        <v>0</v>
      </c>
    </row>
    <row r="14" spans="1:19">
      <c r="A14" s="1">
        <v>13</v>
      </c>
      <c r="B14" s="2" t="s">
        <v>101</v>
      </c>
      <c r="C14" s="2" t="s">
        <v>910</v>
      </c>
      <c r="D14" s="2" t="s">
        <v>911</v>
      </c>
      <c r="E14" s="3">
        <v>36000</v>
      </c>
      <c r="F14" s="3">
        <v>2203.92</v>
      </c>
      <c r="G14" s="3">
        <v>673.32</v>
      </c>
      <c r="H14" s="3">
        <v>72</v>
      </c>
      <c r="I14" s="3">
        <v>2160</v>
      </c>
      <c r="J14" s="3">
        <v>5000</v>
      </c>
      <c r="K14" s="3">
        <v>10109.24</v>
      </c>
      <c r="L14" s="4">
        <v>776.72</v>
      </c>
      <c r="M14" s="5">
        <v>45992</v>
      </c>
      <c r="N14" s="3">
        <f t="shared" si="0"/>
        <v>0</v>
      </c>
    </row>
    <row r="15" spans="1:19">
      <c r="A15" s="1">
        <v>14</v>
      </c>
      <c r="B15" s="2" t="s">
        <v>101</v>
      </c>
      <c r="C15" s="2" t="s">
        <v>146</v>
      </c>
      <c r="D15" s="2" t="s">
        <v>147</v>
      </c>
      <c r="E15" s="3">
        <v>20000</v>
      </c>
      <c r="F15" s="3">
        <v>1600</v>
      </c>
      <c r="G15" s="3">
        <v>400</v>
      </c>
      <c r="H15" s="3">
        <v>40</v>
      </c>
      <c r="I15" s="3">
        <v>1200</v>
      </c>
      <c r="J15" s="3">
        <v>5000</v>
      </c>
      <c r="K15" s="3">
        <v>8240</v>
      </c>
      <c r="L15" s="4">
        <v>352.8</v>
      </c>
      <c r="M15" s="5">
        <v>45992</v>
      </c>
      <c r="N15" s="3">
        <f t="shared" si="0"/>
        <v>0</v>
      </c>
    </row>
    <row r="16" spans="1:19">
      <c r="A16" s="1">
        <v>15</v>
      </c>
      <c r="B16" s="2" t="s">
        <v>101</v>
      </c>
      <c r="C16" s="2" t="s">
        <v>151</v>
      </c>
      <c r="D16" s="2" t="s">
        <v>152</v>
      </c>
      <c r="E16" s="3">
        <v>25000</v>
      </c>
      <c r="F16" s="3">
        <v>2000</v>
      </c>
      <c r="G16" s="3">
        <v>500</v>
      </c>
      <c r="H16" s="3">
        <v>50</v>
      </c>
      <c r="I16" s="3">
        <v>1500</v>
      </c>
      <c r="J16" s="3">
        <v>5000</v>
      </c>
      <c r="K16" s="3">
        <v>9050</v>
      </c>
      <c r="L16" s="4">
        <v>478.5</v>
      </c>
      <c r="M16" s="5">
        <v>45992</v>
      </c>
      <c r="N16" s="3">
        <f t="shared" si="0"/>
        <v>0</v>
      </c>
    </row>
    <row r="17" spans="1:14">
      <c r="A17" s="1">
        <v>16</v>
      </c>
      <c r="B17" s="2" t="s">
        <v>101</v>
      </c>
      <c r="C17" s="2" t="s">
        <v>155</v>
      </c>
      <c r="D17" s="2" t="s">
        <v>156</v>
      </c>
      <c r="E17" s="3">
        <v>23000</v>
      </c>
      <c r="F17" s="3">
        <v>1840</v>
      </c>
      <c r="G17" s="3">
        <v>460</v>
      </c>
      <c r="H17" s="3">
        <v>46</v>
      </c>
      <c r="I17" s="3">
        <v>1380</v>
      </c>
      <c r="J17" s="3">
        <v>5000</v>
      </c>
      <c r="K17" s="3">
        <v>8726</v>
      </c>
      <c r="L17" s="4">
        <v>428.22</v>
      </c>
      <c r="M17" s="5">
        <v>45992</v>
      </c>
      <c r="N17" s="3">
        <f t="shared" si="0"/>
        <v>0</v>
      </c>
    </row>
    <row r="18" spans="1:14">
      <c r="A18" s="1">
        <v>17</v>
      </c>
      <c r="B18" s="2" t="s">
        <v>101</v>
      </c>
      <c r="C18" s="2" t="s">
        <v>160</v>
      </c>
      <c r="D18" s="2" t="s">
        <v>161</v>
      </c>
      <c r="E18" s="3">
        <v>20000</v>
      </c>
      <c r="F18" s="3">
        <v>1600</v>
      </c>
      <c r="G18" s="3">
        <v>400</v>
      </c>
      <c r="H18" s="3">
        <v>40</v>
      </c>
      <c r="I18" s="3">
        <v>1200</v>
      </c>
      <c r="J18" s="3">
        <v>5000</v>
      </c>
      <c r="K18" s="3">
        <v>8240</v>
      </c>
      <c r="L18" s="4">
        <v>352.8</v>
      </c>
      <c r="M18" s="5">
        <v>45992</v>
      </c>
      <c r="N18" s="3">
        <f t="shared" si="0"/>
        <v>0</v>
      </c>
    </row>
    <row r="19" spans="1:14">
      <c r="A19" s="1">
        <v>18</v>
      </c>
      <c r="B19" s="2" t="s">
        <v>101</v>
      </c>
      <c r="C19" s="2" t="s">
        <v>165</v>
      </c>
      <c r="D19" s="2" t="s">
        <v>166</v>
      </c>
      <c r="E19" s="3">
        <v>22000</v>
      </c>
      <c r="F19" s="3">
        <v>1760</v>
      </c>
      <c r="G19" s="3">
        <v>440</v>
      </c>
      <c r="H19" s="3">
        <v>44</v>
      </c>
      <c r="I19" s="3">
        <v>1320</v>
      </c>
      <c r="J19" s="3">
        <v>5000</v>
      </c>
      <c r="K19" s="3">
        <v>8564</v>
      </c>
      <c r="L19" s="4">
        <v>403.08</v>
      </c>
      <c r="M19" s="5">
        <v>45992</v>
      </c>
      <c r="N19" s="3">
        <f t="shared" si="0"/>
        <v>0</v>
      </c>
    </row>
    <row r="20" spans="1:14">
      <c r="A20" s="1">
        <v>19</v>
      </c>
      <c r="B20" s="2" t="s">
        <v>101</v>
      </c>
      <c r="C20" s="2" t="s">
        <v>170</v>
      </c>
      <c r="D20" s="2" t="s">
        <v>171</v>
      </c>
      <c r="E20" s="3">
        <v>15000</v>
      </c>
      <c r="F20" s="3">
        <v>1200</v>
      </c>
      <c r="G20" s="3">
        <v>300</v>
      </c>
      <c r="H20" s="3">
        <v>30</v>
      </c>
      <c r="I20" s="3">
        <v>900</v>
      </c>
      <c r="J20" s="3">
        <v>5000</v>
      </c>
      <c r="K20" s="3">
        <v>7430</v>
      </c>
      <c r="L20" s="4">
        <v>227.1</v>
      </c>
      <c r="M20" s="5">
        <v>45992</v>
      </c>
      <c r="N20" s="3">
        <f t="shared" si="0"/>
        <v>0</v>
      </c>
    </row>
    <row r="21" spans="1:14">
      <c r="A21" s="1">
        <v>20</v>
      </c>
      <c r="B21" s="2" t="s">
        <v>101</v>
      </c>
      <c r="C21" s="2" t="s">
        <v>175</v>
      </c>
      <c r="D21" s="2" t="s">
        <v>176</v>
      </c>
      <c r="E21" s="3">
        <v>25000</v>
      </c>
      <c r="F21" s="3">
        <v>2000</v>
      </c>
      <c r="G21" s="3">
        <v>500</v>
      </c>
      <c r="H21" s="3">
        <v>50</v>
      </c>
      <c r="I21" s="3">
        <v>1500</v>
      </c>
      <c r="J21" s="3">
        <v>5000</v>
      </c>
      <c r="K21" s="3">
        <v>9050</v>
      </c>
      <c r="L21" s="4">
        <v>478.5</v>
      </c>
      <c r="M21" s="5">
        <v>45992</v>
      </c>
      <c r="N21" s="3">
        <f t="shared" si="0"/>
        <v>0</v>
      </c>
    </row>
    <row r="22" spans="1:14">
      <c r="A22" s="1">
        <v>21</v>
      </c>
      <c r="B22" s="2" t="s">
        <v>101</v>
      </c>
      <c r="C22" s="2" t="s">
        <v>180</v>
      </c>
      <c r="D22" s="2" t="s">
        <v>181</v>
      </c>
      <c r="E22" s="3">
        <v>13000</v>
      </c>
      <c r="F22" s="3">
        <v>1040</v>
      </c>
      <c r="G22" s="3">
        <v>260</v>
      </c>
      <c r="H22" s="3">
        <v>26</v>
      </c>
      <c r="I22" s="3">
        <v>780</v>
      </c>
      <c r="J22" s="3">
        <v>5000</v>
      </c>
      <c r="K22" s="3">
        <v>7106</v>
      </c>
      <c r="L22" s="4">
        <v>176.82</v>
      </c>
      <c r="M22" s="5">
        <v>45992</v>
      </c>
      <c r="N22" s="3">
        <f t="shared" si="0"/>
        <v>0</v>
      </c>
    </row>
    <row r="23" spans="1:14">
      <c r="A23" s="1">
        <v>22</v>
      </c>
      <c r="B23" s="2" t="s">
        <v>101</v>
      </c>
      <c r="C23" s="2" t="s">
        <v>185</v>
      </c>
      <c r="D23" s="2" t="s">
        <v>186</v>
      </c>
      <c r="E23" s="3">
        <v>50000</v>
      </c>
      <c r="F23" s="3">
        <v>2203.92</v>
      </c>
      <c r="G23" s="3">
        <v>673.32</v>
      </c>
      <c r="H23" s="3">
        <v>88.53</v>
      </c>
      <c r="I23" s="3">
        <v>2655.9</v>
      </c>
      <c r="J23" s="3">
        <v>5000</v>
      </c>
      <c r="K23" s="3">
        <v>10621.67</v>
      </c>
      <c r="L23" s="4">
        <v>1417.83</v>
      </c>
      <c r="M23" s="5">
        <v>45992</v>
      </c>
      <c r="N23" s="3">
        <f t="shared" si="0"/>
        <v>0</v>
      </c>
    </row>
    <row r="24" spans="1:14">
      <c r="A24" s="1">
        <v>23</v>
      </c>
      <c r="B24" s="2" t="s">
        <v>101</v>
      </c>
      <c r="C24" s="2" t="s">
        <v>912</v>
      </c>
      <c r="D24" s="2" t="s">
        <v>913</v>
      </c>
      <c r="E24" s="3">
        <v>16000</v>
      </c>
      <c r="F24" s="3">
        <v>1280</v>
      </c>
      <c r="G24" s="3">
        <v>320</v>
      </c>
      <c r="H24" s="3">
        <v>32</v>
      </c>
      <c r="I24" s="3">
        <v>960</v>
      </c>
      <c r="J24" s="3">
        <v>5000</v>
      </c>
      <c r="K24" s="3">
        <v>7592</v>
      </c>
      <c r="L24" s="4">
        <v>252.24</v>
      </c>
      <c r="M24" s="5">
        <v>45992</v>
      </c>
      <c r="N24" s="3">
        <f t="shared" si="0"/>
        <v>0</v>
      </c>
    </row>
    <row r="25" spans="1:14">
      <c r="A25" s="1">
        <v>24</v>
      </c>
      <c r="B25" s="2" t="s">
        <v>101</v>
      </c>
      <c r="C25" s="2" t="s">
        <v>190</v>
      </c>
      <c r="D25" s="2" t="s">
        <v>191</v>
      </c>
      <c r="E25" s="3">
        <v>14000</v>
      </c>
      <c r="F25" s="3">
        <v>1120</v>
      </c>
      <c r="G25" s="3">
        <v>280</v>
      </c>
      <c r="H25" s="3">
        <v>28</v>
      </c>
      <c r="I25" s="3">
        <v>840</v>
      </c>
      <c r="J25" s="3">
        <v>5000</v>
      </c>
      <c r="K25" s="3">
        <v>7268</v>
      </c>
      <c r="L25" s="4">
        <v>201.96</v>
      </c>
      <c r="M25" s="5">
        <v>45992</v>
      </c>
      <c r="N25" s="3">
        <f t="shared" si="0"/>
        <v>0</v>
      </c>
    </row>
    <row r="26" spans="1:14">
      <c r="A26" s="1">
        <v>25</v>
      </c>
      <c r="B26" s="2" t="s">
        <v>101</v>
      </c>
      <c r="C26" s="2" t="s">
        <v>195</v>
      </c>
      <c r="D26" s="2" t="s">
        <v>196</v>
      </c>
      <c r="E26" s="3">
        <v>18000</v>
      </c>
      <c r="F26" s="3">
        <v>1440</v>
      </c>
      <c r="G26" s="3">
        <v>360</v>
      </c>
      <c r="H26" s="3">
        <v>36</v>
      </c>
      <c r="I26" s="3">
        <v>1080</v>
      </c>
      <c r="J26" s="3">
        <v>5000</v>
      </c>
      <c r="K26" s="3">
        <v>7916</v>
      </c>
      <c r="L26" s="4">
        <v>302.52</v>
      </c>
      <c r="M26" s="5">
        <v>45992</v>
      </c>
      <c r="N26" s="3">
        <f t="shared" si="0"/>
        <v>0</v>
      </c>
    </row>
    <row r="27" spans="1:14">
      <c r="A27" s="1">
        <v>26</v>
      </c>
      <c r="B27" s="2" t="s">
        <v>101</v>
      </c>
      <c r="C27" s="2" t="s">
        <v>200</v>
      </c>
      <c r="D27" s="2" t="s">
        <v>201</v>
      </c>
      <c r="E27" s="3">
        <v>14000</v>
      </c>
      <c r="F27" s="3">
        <v>1120</v>
      </c>
      <c r="G27" s="3">
        <v>280</v>
      </c>
      <c r="H27" s="3">
        <v>28</v>
      </c>
      <c r="I27" s="3">
        <v>840</v>
      </c>
      <c r="J27" s="3">
        <v>5000</v>
      </c>
      <c r="K27" s="3">
        <v>7268</v>
      </c>
      <c r="L27" s="4">
        <v>201.96</v>
      </c>
      <c r="M27" s="5">
        <v>45992</v>
      </c>
      <c r="N27" s="3">
        <f t="shared" si="0"/>
        <v>0</v>
      </c>
    </row>
    <row r="28" spans="1:14">
      <c r="A28" s="1">
        <v>27</v>
      </c>
      <c r="B28" s="2" t="s">
        <v>101</v>
      </c>
      <c r="C28" s="2" t="s">
        <v>204</v>
      </c>
      <c r="D28" s="2" t="s">
        <v>205</v>
      </c>
      <c r="E28" s="3">
        <v>33000</v>
      </c>
      <c r="F28" s="3">
        <v>2203.92</v>
      </c>
      <c r="G28" s="3">
        <v>660</v>
      </c>
      <c r="H28" s="3">
        <v>66</v>
      </c>
      <c r="I28" s="3">
        <v>1980</v>
      </c>
      <c r="J28" s="3">
        <v>5000</v>
      </c>
      <c r="K28" s="3">
        <v>9909.92</v>
      </c>
      <c r="L28" s="4">
        <v>692.7</v>
      </c>
      <c r="M28" s="5">
        <v>45992</v>
      </c>
      <c r="N28" s="3">
        <f t="shared" si="0"/>
        <v>0</v>
      </c>
    </row>
    <row r="29" spans="1:14">
      <c r="A29" s="1">
        <v>28</v>
      </c>
      <c r="B29" s="2" t="s">
        <v>101</v>
      </c>
      <c r="C29" s="2" t="s">
        <v>209</v>
      </c>
      <c r="D29" s="2" t="s">
        <v>210</v>
      </c>
      <c r="E29" s="3">
        <v>19000</v>
      </c>
      <c r="F29" s="3">
        <v>1520</v>
      </c>
      <c r="G29" s="3">
        <v>380</v>
      </c>
      <c r="H29" s="3">
        <v>38</v>
      </c>
      <c r="I29" s="3">
        <v>1140</v>
      </c>
      <c r="J29" s="3">
        <v>5000</v>
      </c>
      <c r="K29" s="3">
        <v>8078</v>
      </c>
      <c r="L29" s="4">
        <v>327.66</v>
      </c>
      <c r="M29" s="5">
        <v>45992</v>
      </c>
      <c r="N29" s="3">
        <f t="shared" si="0"/>
        <v>0</v>
      </c>
    </row>
    <row r="30" spans="1:14">
      <c r="A30" s="1">
        <v>29</v>
      </c>
      <c r="B30" s="2" t="s">
        <v>101</v>
      </c>
      <c r="C30" s="2" t="s">
        <v>214</v>
      </c>
      <c r="D30" s="2" t="s">
        <v>215</v>
      </c>
      <c r="E30" s="3">
        <v>20000</v>
      </c>
      <c r="F30" s="3">
        <v>1600</v>
      </c>
      <c r="G30" s="3">
        <v>400</v>
      </c>
      <c r="H30" s="3">
        <v>40</v>
      </c>
      <c r="I30" s="3">
        <v>1200</v>
      </c>
      <c r="J30" s="3">
        <v>5000</v>
      </c>
      <c r="K30" s="3">
        <v>8240</v>
      </c>
      <c r="L30" s="4">
        <v>352.8</v>
      </c>
      <c r="M30" s="5">
        <v>45992</v>
      </c>
      <c r="N30" s="3">
        <f t="shared" si="0"/>
        <v>0</v>
      </c>
    </row>
    <row r="31" spans="1:14">
      <c r="A31" s="1">
        <v>30</v>
      </c>
      <c r="B31" s="2" t="s">
        <v>101</v>
      </c>
      <c r="C31" s="2" t="s">
        <v>218</v>
      </c>
      <c r="D31" s="2" t="s">
        <v>219</v>
      </c>
      <c r="E31" s="3">
        <v>30000</v>
      </c>
      <c r="F31" s="3">
        <v>2203.92</v>
      </c>
      <c r="G31" s="3">
        <v>600</v>
      </c>
      <c r="H31" s="3">
        <v>60</v>
      </c>
      <c r="I31" s="3">
        <v>1800</v>
      </c>
      <c r="J31" s="3">
        <v>5000</v>
      </c>
      <c r="K31" s="3">
        <v>9663.92</v>
      </c>
      <c r="L31" s="4">
        <v>610.08</v>
      </c>
      <c r="M31" s="5">
        <v>45992</v>
      </c>
      <c r="N31" s="3">
        <f t="shared" si="0"/>
        <v>0</v>
      </c>
    </row>
    <row r="32" spans="1:14">
      <c r="A32" s="1">
        <v>31</v>
      </c>
      <c r="B32" s="2" t="s">
        <v>101</v>
      </c>
      <c r="C32" s="2" t="s">
        <v>914</v>
      </c>
      <c r="D32" s="2" t="s">
        <v>915</v>
      </c>
      <c r="E32" s="3">
        <v>20126.44</v>
      </c>
      <c r="F32" s="3">
        <v>1360</v>
      </c>
      <c r="G32" s="3">
        <v>340</v>
      </c>
      <c r="H32" s="3">
        <v>34</v>
      </c>
      <c r="I32" s="3">
        <v>1020</v>
      </c>
      <c r="J32" s="3">
        <v>5000</v>
      </c>
      <c r="K32" s="3">
        <v>7754</v>
      </c>
      <c r="L32" s="4">
        <v>371.17</v>
      </c>
      <c r="M32" s="5">
        <v>45992</v>
      </c>
      <c r="N32" s="3">
        <f t="shared" si="0"/>
        <v>0</v>
      </c>
    </row>
    <row r="33" spans="1:14">
      <c r="A33" s="1">
        <v>32</v>
      </c>
      <c r="B33" s="2" t="s">
        <v>101</v>
      </c>
      <c r="C33" s="2" t="s">
        <v>223</v>
      </c>
      <c r="D33" s="2" t="s">
        <v>224</v>
      </c>
      <c r="E33" s="3">
        <v>21000</v>
      </c>
      <c r="F33" s="3">
        <v>1600</v>
      </c>
      <c r="G33" s="3">
        <v>400</v>
      </c>
      <c r="H33" s="3">
        <v>40</v>
      </c>
      <c r="I33" s="3">
        <v>1200</v>
      </c>
      <c r="J33" s="3">
        <v>5000</v>
      </c>
      <c r="K33" s="3">
        <v>8240</v>
      </c>
      <c r="L33" s="4">
        <v>382.8</v>
      </c>
      <c r="M33" s="5">
        <v>45992</v>
      </c>
      <c r="N33" s="3">
        <f t="shared" si="0"/>
        <v>0</v>
      </c>
    </row>
    <row r="34" spans="1:14">
      <c r="A34" s="1">
        <v>33</v>
      </c>
      <c r="B34" s="2" t="s">
        <v>101</v>
      </c>
      <c r="C34" s="2" t="s">
        <v>228</v>
      </c>
      <c r="D34" s="2" t="s">
        <v>229</v>
      </c>
      <c r="E34" s="3">
        <v>25000</v>
      </c>
      <c r="F34" s="3">
        <v>2000</v>
      </c>
      <c r="G34" s="3">
        <v>500</v>
      </c>
      <c r="H34" s="3">
        <v>50</v>
      </c>
      <c r="I34" s="3">
        <v>1500</v>
      </c>
      <c r="J34" s="3">
        <v>5000</v>
      </c>
      <c r="K34" s="3">
        <v>9050</v>
      </c>
      <c r="L34" s="4">
        <v>478.5</v>
      </c>
      <c r="M34" s="5">
        <v>45992</v>
      </c>
      <c r="N34" s="3">
        <f t="shared" si="0"/>
        <v>0</v>
      </c>
    </row>
    <row r="35" spans="1:14">
      <c r="A35" s="1">
        <v>34</v>
      </c>
      <c r="B35" s="2" t="s">
        <v>101</v>
      </c>
      <c r="C35" s="2" t="s">
        <v>233</v>
      </c>
      <c r="D35" s="2" t="s">
        <v>234</v>
      </c>
      <c r="E35" s="3">
        <v>36000</v>
      </c>
      <c r="F35" s="3">
        <v>2203.92</v>
      </c>
      <c r="G35" s="3">
        <v>673.32</v>
      </c>
      <c r="H35" s="3">
        <v>72</v>
      </c>
      <c r="I35" s="3">
        <v>2160</v>
      </c>
      <c r="J35" s="3">
        <v>5000</v>
      </c>
      <c r="K35" s="3">
        <v>10109.24</v>
      </c>
      <c r="L35" s="4">
        <v>776.72</v>
      </c>
      <c r="M35" s="5">
        <v>45992</v>
      </c>
      <c r="N35" s="3">
        <f t="shared" si="0"/>
        <v>0</v>
      </c>
    </row>
    <row r="36" spans="1:14">
      <c r="A36" s="1">
        <v>35</v>
      </c>
      <c r="B36" s="2" t="s">
        <v>101</v>
      </c>
      <c r="C36" s="2" t="s">
        <v>238</v>
      </c>
      <c r="D36" s="2" t="s">
        <v>239</v>
      </c>
      <c r="E36" s="3">
        <v>20000</v>
      </c>
      <c r="F36" s="3">
        <v>1600</v>
      </c>
      <c r="G36" s="3">
        <v>400</v>
      </c>
      <c r="H36" s="3">
        <v>40</v>
      </c>
      <c r="I36" s="3">
        <v>1200</v>
      </c>
      <c r="J36" s="3">
        <v>5000</v>
      </c>
      <c r="K36" s="3">
        <v>8240</v>
      </c>
      <c r="L36" s="4">
        <v>352.8</v>
      </c>
      <c r="M36" s="5">
        <v>45992</v>
      </c>
      <c r="N36" s="3">
        <f t="shared" si="0"/>
        <v>0</v>
      </c>
    </row>
    <row r="37" spans="1:14">
      <c r="A37" s="1">
        <v>36</v>
      </c>
      <c r="B37" s="2" t="s">
        <v>101</v>
      </c>
      <c r="C37" s="2" t="s">
        <v>242</v>
      </c>
      <c r="D37" s="2" t="s">
        <v>243</v>
      </c>
      <c r="E37" s="3">
        <v>23000</v>
      </c>
      <c r="F37" s="3">
        <v>1840</v>
      </c>
      <c r="G37" s="3">
        <v>460</v>
      </c>
      <c r="H37" s="3">
        <v>46</v>
      </c>
      <c r="I37" s="3">
        <v>1380</v>
      </c>
      <c r="J37" s="3">
        <v>5000</v>
      </c>
      <c r="K37" s="3">
        <v>8726</v>
      </c>
      <c r="L37" s="4">
        <v>428.22</v>
      </c>
      <c r="M37" s="5">
        <v>45992</v>
      </c>
      <c r="N37" s="3">
        <f t="shared" si="0"/>
        <v>0</v>
      </c>
    </row>
    <row r="38" spans="1:14">
      <c r="A38" s="1">
        <v>37</v>
      </c>
      <c r="B38" s="2" t="s">
        <v>101</v>
      </c>
      <c r="C38" s="2" t="s">
        <v>247</v>
      </c>
      <c r="D38" s="2" t="s">
        <v>248</v>
      </c>
      <c r="E38" s="3">
        <v>8000</v>
      </c>
      <c r="F38" s="3">
        <v>640</v>
      </c>
      <c r="G38" s="3">
        <v>160</v>
      </c>
      <c r="H38" s="3">
        <v>16</v>
      </c>
      <c r="I38" s="3">
        <v>480</v>
      </c>
      <c r="J38" s="3">
        <v>5000</v>
      </c>
      <c r="K38" s="3">
        <v>6296</v>
      </c>
      <c r="L38" s="4">
        <v>51.12</v>
      </c>
      <c r="M38" s="5">
        <v>45992</v>
      </c>
      <c r="N38" s="3">
        <f t="shared" si="0"/>
        <v>0</v>
      </c>
    </row>
    <row r="39" spans="1:14">
      <c r="A39" s="1">
        <v>38</v>
      </c>
      <c r="B39" s="2" t="s">
        <v>101</v>
      </c>
      <c r="C39" s="2" t="s">
        <v>916</v>
      </c>
      <c r="D39" s="2" t="s">
        <v>917</v>
      </c>
      <c r="E39" s="3">
        <v>6436.78</v>
      </c>
      <c r="F39" s="3">
        <v>1600</v>
      </c>
      <c r="G39" s="3">
        <v>400</v>
      </c>
      <c r="H39" s="3">
        <v>40</v>
      </c>
      <c r="I39" s="3">
        <v>1200</v>
      </c>
      <c r="J39" s="3">
        <v>5000</v>
      </c>
      <c r="K39" s="3">
        <v>8240</v>
      </c>
      <c r="L39" s="4">
        <v>0</v>
      </c>
      <c r="M39" s="5">
        <v>45992</v>
      </c>
      <c r="N39" s="3">
        <f t="shared" si="0"/>
        <v>0</v>
      </c>
    </row>
    <row r="40" spans="1:14">
      <c r="A40" s="1">
        <v>39</v>
      </c>
      <c r="B40" s="2" t="s">
        <v>101</v>
      </c>
      <c r="C40" s="2" t="s">
        <v>252</v>
      </c>
      <c r="D40" s="2" t="s">
        <v>253</v>
      </c>
      <c r="E40" s="3">
        <v>19000</v>
      </c>
      <c r="F40" s="3">
        <v>1520</v>
      </c>
      <c r="G40" s="3">
        <v>380</v>
      </c>
      <c r="H40" s="3">
        <v>38</v>
      </c>
      <c r="I40" s="3">
        <v>1140</v>
      </c>
      <c r="J40" s="3">
        <v>5000</v>
      </c>
      <c r="K40" s="3">
        <v>8078</v>
      </c>
      <c r="L40" s="4">
        <v>327.66</v>
      </c>
      <c r="M40" s="5">
        <v>45992</v>
      </c>
      <c r="N40" s="3">
        <f t="shared" si="0"/>
        <v>0</v>
      </c>
    </row>
    <row r="41" spans="1:14">
      <c r="A41" s="1">
        <v>40</v>
      </c>
      <c r="B41" s="2" t="s">
        <v>101</v>
      </c>
      <c r="C41" s="2" t="s">
        <v>257</v>
      </c>
      <c r="D41" s="2" t="s">
        <v>258</v>
      </c>
      <c r="E41" s="3">
        <v>28620.69</v>
      </c>
      <c r="F41" s="3">
        <v>2203.92</v>
      </c>
      <c r="G41" s="3">
        <v>600</v>
      </c>
      <c r="H41" s="3">
        <v>60</v>
      </c>
      <c r="I41" s="3">
        <v>1800</v>
      </c>
      <c r="J41" s="3">
        <v>5000</v>
      </c>
      <c r="K41" s="3">
        <v>9663.92</v>
      </c>
      <c r="L41" s="4">
        <v>568.7</v>
      </c>
      <c r="M41" s="5">
        <v>45992</v>
      </c>
      <c r="N41" s="3">
        <f t="shared" si="0"/>
        <v>0</v>
      </c>
    </row>
    <row r="42" spans="1:14">
      <c r="A42" s="1">
        <v>41</v>
      </c>
      <c r="B42" s="2" t="s">
        <v>101</v>
      </c>
      <c r="C42" s="2" t="s">
        <v>262</v>
      </c>
      <c r="D42" s="2" t="s">
        <v>263</v>
      </c>
      <c r="E42" s="3">
        <v>45000</v>
      </c>
      <c r="F42" s="3">
        <v>2203.92</v>
      </c>
      <c r="G42" s="3">
        <v>673.32</v>
      </c>
      <c r="H42" s="3">
        <v>88.53</v>
      </c>
      <c r="I42" s="3">
        <v>2655.9</v>
      </c>
      <c r="J42" s="3">
        <v>5000</v>
      </c>
      <c r="K42" s="3">
        <v>10621.67</v>
      </c>
      <c r="L42" s="4">
        <v>1031.35</v>
      </c>
      <c r="M42" s="5">
        <v>45992</v>
      </c>
      <c r="N42" s="3">
        <f t="shared" si="0"/>
        <v>0</v>
      </c>
    </row>
    <row r="43" spans="1:14">
      <c r="A43" s="1">
        <v>42</v>
      </c>
      <c r="B43" s="2" t="s">
        <v>101</v>
      </c>
      <c r="C43" s="2" t="s">
        <v>267</v>
      </c>
      <c r="D43" s="2" t="s">
        <v>268</v>
      </c>
      <c r="E43" s="3">
        <v>20668.1</v>
      </c>
      <c r="F43" s="3">
        <v>1680</v>
      </c>
      <c r="G43" s="3">
        <v>420</v>
      </c>
      <c r="H43" s="3">
        <v>42</v>
      </c>
      <c r="I43" s="3">
        <v>1260</v>
      </c>
      <c r="J43" s="3">
        <v>5000</v>
      </c>
      <c r="K43" s="3">
        <v>8402</v>
      </c>
      <c r="L43" s="4">
        <v>367.98</v>
      </c>
      <c r="M43" s="5">
        <v>45992</v>
      </c>
      <c r="N43" s="3">
        <f t="shared" si="0"/>
        <v>0</v>
      </c>
    </row>
    <row r="44" spans="1:14">
      <c r="A44" s="1">
        <v>43</v>
      </c>
      <c r="B44" s="2" t="s">
        <v>101</v>
      </c>
      <c r="C44" s="2" t="s">
        <v>918</v>
      </c>
      <c r="D44" s="2" t="s">
        <v>919</v>
      </c>
      <c r="E44" s="3">
        <v>2896.55</v>
      </c>
      <c r="F44" s="3">
        <v>0</v>
      </c>
      <c r="G44" s="3">
        <v>0</v>
      </c>
      <c r="H44" s="3">
        <v>0</v>
      </c>
      <c r="I44" s="3">
        <v>0</v>
      </c>
      <c r="J44" s="3">
        <v>5000</v>
      </c>
      <c r="K44" s="3">
        <v>5000</v>
      </c>
      <c r="L44" s="4">
        <v>0</v>
      </c>
      <c r="M44" s="5">
        <v>45992</v>
      </c>
      <c r="N44" s="3">
        <f t="shared" si="0"/>
        <v>0</v>
      </c>
    </row>
    <row r="45" spans="1:14">
      <c r="A45" s="1">
        <v>44</v>
      </c>
      <c r="B45" s="2" t="s">
        <v>101</v>
      </c>
      <c r="C45" s="2" t="s">
        <v>272</v>
      </c>
      <c r="D45" s="2" t="s">
        <v>273</v>
      </c>
      <c r="E45" s="3">
        <v>23735.63</v>
      </c>
      <c r="F45" s="3">
        <v>2203.92</v>
      </c>
      <c r="G45" s="3">
        <v>673.32</v>
      </c>
      <c r="H45" s="3">
        <v>70</v>
      </c>
      <c r="I45" s="3">
        <v>2100</v>
      </c>
      <c r="J45" s="3">
        <v>5000</v>
      </c>
      <c r="K45" s="3">
        <v>10047.24</v>
      </c>
      <c r="L45" s="4">
        <v>410.65</v>
      </c>
      <c r="M45" s="5">
        <v>45992</v>
      </c>
      <c r="N45" s="3">
        <f t="shared" si="0"/>
        <v>0</v>
      </c>
    </row>
    <row r="46" spans="1:14">
      <c r="A46" s="1">
        <v>45</v>
      </c>
      <c r="B46" s="2" t="s">
        <v>101</v>
      </c>
      <c r="C46" s="2" t="s">
        <v>277</v>
      </c>
      <c r="D46" s="2" t="s">
        <v>278</v>
      </c>
      <c r="E46" s="3">
        <v>17971.26</v>
      </c>
      <c r="F46" s="3">
        <v>2120</v>
      </c>
      <c r="G46" s="3">
        <v>530</v>
      </c>
      <c r="H46" s="3">
        <v>53</v>
      </c>
      <c r="I46" s="3">
        <v>1590</v>
      </c>
      <c r="J46" s="3">
        <v>5000</v>
      </c>
      <c r="K46" s="3">
        <v>9293</v>
      </c>
      <c r="L46" s="4">
        <v>260.35</v>
      </c>
      <c r="M46" s="5">
        <v>45992</v>
      </c>
      <c r="N46" s="3">
        <f t="shared" si="0"/>
        <v>0</v>
      </c>
    </row>
    <row r="47" spans="1:14">
      <c r="A47" s="1">
        <v>46</v>
      </c>
      <c r="B47" s="2" t="s">
        <v>101</v>
      </c>
      <c r="C47" s="2" t="s">
        <v>282</v>
      </c>
      <c r="D47" s="2" t="s">
        <v>283</v>
      </c>
      <c r="E47" s="3">
        <v>9379.31</v>
      </c>
      <c r="F47" s="3">
        <v>1280</v>
      </c>
      <c r="G47" s="3">
        <v>320</v>
      </c>
      <c r="H47" s="3">
        <v>32</v>
      </c>
      <c r="I47" s="3">
        <v>960</v>
      </c>
      <c r="J47" s="3">
        <v>5000</v>
      </c>
      <c r="K47" s="3">
        <v>7592</v>
      </c>
      <c r="L47" s="4">
        <v>53.62</v>
      </c>
      <c r="M47" s="5">
        <v>45992</v>
      </c>
      <c r="N47" s="3">
        <f t="shared" si="0"/>
        <v>0</v>
      </c>
    </row>
    <row r="48" spans="1:14">
      <c r="A48" s="1">
        <v>1</v>
      </c>
      <c r="B48" s="2" t="s">
        <v>101</v>
      </c>
      <c r="C48" s="2" t="s">
        <v>102</v>
      </c>
      <c r="D48" s="2" t="s">
        <v>103</v>
      </c>
      <c r="E48" s="3">
        <v>50000</v>
      </c>
      <c r="F48" s="3">
        <v>2203.92</v>
      </c>
      <c r="G48" s="3">
        <v>672.66</v>
      </c>
      <c r="H48" s="3">
        <v>88.53</v>
      </c>
      <c r="I48" s="3">
        <v>2655.9</v>
      </c>
      <c r="J48" s="3">
        <v>5000</v>
      </c>
      <c r="K48" s="3">
        <v>10621.01</v>
      </c>
      <c r="L48" s="4">
        <v>3937.9</v>
      </c>
      <c r="M48" s="5">
        <v>46023</v>
      </c>
      <c r="N48" s="3">
        <f t="shared" si="0"/>
        <v>0</v>
      </c>
    </row>
    <row r="49" spans="1:19">
      <c r="A49" s="1">
        <v>2</v>
      </c>
      <c r="B49" s="2" t="s">
        <v>101</v>
      </c>
      <c r="C49" s="2" t="s">
        <v>108</v>
      </c>
      <c r="D49" s="2" t="s">
        <v>109</v>
      </c>
      <c r="E49" s="3">
        <v>14000</v>
      </c>
      <c r="F49" s="3">
        <v>1120</v>
      </c>
      <c r="G49" s="3">
        <v>280</v>
      </c>
      <c r="H49" s="3">
        <v>28</v>
      </c>
      <c r="I49" s="3">
        <v>840</v>
      </c>
      <c r="J49" s="3">
        <v>5000</v>
      </c>
      <c r="K49" s="3">
        <v>7268</v>
      </c>
      <c r="L49" s="4">
        <v>111.96</v>
      </c>
      <c r="M49" s="5">
        <v>46023</v>
      </c>
      <c r="N49" s="3">
        <f t="shared" si="0"/>
        <v>0</v>
      </c>
      <c r="Q49" s="7" t="s">
        <v>20</v>
      </c>
      <c r="R49" s="7" t="s">
        <v>90</v>
      </c>
      <c r="S49" s="7" t="s">
        <v>901</v>
      </c>
    </row>
    <row r="50" spans="1:19">
      <c r="A50" s="1">
        <v>3</v>
      </c>
      <c r="B50" s="2" t="s">
        <v>101</v>
      </c>
      <c r="C50" s="2" t="s">
        <v>113</v>
      </c>
      <c r="D50" s="2" t="s">
        <v>114</v>
      </c>
      <c r="E50" s="3">
        <v>48850.57</v>
      </c>
      <c r="F50" s="3">
        <v>2203.92</v>
      </c>
      <c r="G50" s="3">
        <v>672.66</v>
      </c>
      <c r="H50" s="3">
        <v>88.53</v>
      </c>
      <c r="I50" s="3">
        <v>2655.9</v>
      </c>
      <c r="J50" s="3">
        <v>5000</v>
      </c>
      <c r="K50" s="3">
        <v>10621.01</v>
      </c>
      <c r="L50" s="4">
        <v>3822.96</v>
      </c>
      <c r="M50" s="5">
        <v>46023</v>
      </c>
      <c r="N50" s="3">
        <f t="shared" si="0"/>
        <v>0</v>
      </c>
      <c r="Q50" s="7">
        <f>SUM(E48:E95)</f>
        <v>1171986.43</v>
      </c>
      <c r="R50" s="7">
        <f>SUM(K48:K95)</f>
        <v>404864.82</v>
      </c>
      <c r="S50" s="7">
        <f>SUM(L48:L95)</f>
        <v>44540.48</v>
      </c>
    </row>
    <row r="51" spans="1:19">
      <c r="A51" s="1">
        <v>4</v>
      </c>
      <c r="B51" s="2" t="s">
        <v>101</v>
      </c>
      <c r="C51" s="2" t="s">
        <v>118</v>
      </c>
      <c r="D51" s="2" t="s">
        <v>119</v>
      </c>
      <c r="E51" s="3">
        <v>48000</v>
      </c>
      <c r="F51" s="3">
        <v>2203.92</v>
      </c>
      <c r="G51" s="3">
        <v>672.66</v>
      </c>
      <c r="H51" s="3">
        <v>88.53</v>
      </c>
      <c r="I51" s="3">
        <v>2655.9</v>
      </c>
      <c r="J51" s="3">
        <v>5000</v>
      </c>
      <c r="K51" s="3">
        <v>10621.01</v>
      </c>
      <c r="L51" s="4">
        <v>3737.9</v>
      </c>
      <c r="M51" s="5">
        <v>46023</v>
      </c>
      <c r="N51" s="3">
        <f t="shared" si="0"/>
        <v>0</v>
      </c>
    </row>
    <row r="52" spans="1:19">
      <c r="A52" s="1">
        <v>5</v>
      </c>
      <c r="B52" s="2" t="s">
        <v>101</v>
      </c>
      <c r="C52" s="2" t="s">
        <v>123</v>
      </c>
      <c r="D52" s="2" t="s">
        <v>124</v>
      </c>
      <c r="E52" s="3">
        <v>45000</v>
      </c>
      <c r="F52" s="3">
        <v>2203.92</v>
      </c>
      <c r="G52" s="3">
        <v>672.66</v>
      </c>
      <c r="H52" s="3">
        <v>88.53</v>
      </c>
      <c r="I52" s="3">
        <v>2655.9</v>
      </c>
      <c r="J52" s="3">
        <v>5000</v>
      </c>
      <c r="K52" s="3">
        <v>10621.01</v>
      </c>
      <c r="L52" s="4">
        <v>3324.38</v>
      </c>
      <c r="M52" s="5">
        <v>46023</v>
      </c>
      <c r="N52" s="3">
        <f t="shared" si="0"/>
        <v>0</v>
      </c>
      <c r="Q52" s="7">
        <v>1171986.43</v>
      </c>
      <c r="R52" s="7">
        <v>404864.82</v>
      </c>
      <c r="S52" s="7">
        <v>44540.48</v>
      </c>
    </row>
    <row r="53" spans="1:19">
      <c r="A53" s="1">
        <v>6</v>
      </c>
      <c r="B53" s="2" t="s">
        <v>101</v>
      </c>
      <c r="C53" s="2" t="s">
        <v>128</v>
      </c>
      <c r="D53" s="2" t="s">
        <v>129</v>
      </c>
      <c r="E53" s="3">
        <v>35000</v>
      </c>
      <c r="F53" s="3">
        <v>0</v>
      </c>
      <c r="G53" s="3">
        <v>0</v>
      </c>
      <c r="H53" s="3">
        <v>0</v>
      </c>
      <c r="I53" s="3">
        <v>0</v>
      </c>
      <c r="J53" s="3">
        <v>5000</v>
      </c>
      <c r="K53" s="3">
        <v>5000</v>
      </c>
      <c r="L53" s="4">
        <v>2580</v>
      </c>
      <c r="M53" s="5">
        <v>46023</v>
      </c>
      <c r="N53" s="3">
        <f t="shared" si="0"/>
        <v>0</v>
      </c>
    </row>
    <row r="54" spans="1:19">
      <c r="A54" s="1">
        <v>7</v>
      </c>
      <c r="B54" s="2" t="s">
        <v>101</v>
      </c>
      <c r="C54" s="2" t="s">
        <v>133</v>
      </c>
      <c r="D54" s="2" t="s">
        <v>134</v>
      </c>
      <c r="E54" s="3">
        <v>18000</v>
      </c>
      <c r="F54" s="3">
        <v>1440</v>
      </c>
      <c r="G54" s="3">
        <v>360</v>
      </c>
      <c r="H54" s="3">
        <v>36</v>
      </c>
      <c r="I54" s="3">
        <v>1080</v>
      </c>
      <c r="J54" s="3">
        <v>5000</v>
      </c>
      <c r="K54" s="3">
        <v>7916</v>
      </c>
      <c r="L54" s="4">
        <v>302.52</v>
      </c>
      <c r="M54" s="5">
        <v>46023</v>
      </c>
      <c r="N54" s="3">
        <f t="shared" si="0"/>
        <v>0</v>
      </c>
      <c r="Q54" s="7">
        <f>Q50-Q52</f>
        <v>0</v>
      </c>
      <c r="R54" s="7">
        <f>R50-R52</f>
        <v>0</v>
      </c>
      <c r="S54" s="7">
        <f>S50-S52</f>
        <v>0</v>
      </c>
    </row>
    <row r="55" spans="1:19">
      <c r="A55" s="1">
        <v>8</v>
      </c>
      <c r="B55" s="2" t="s">
        <v>101</v>
      </c>
      <c r="C55" s="2" t="s">
        <v>138</v>
      </c>
      <c r="D55" s="2" t="s">
        <v>139</v>
      </c>
      <c r="E55" s="3">
        <v>30000</v>
      </c>
      <c r="F55" s="3">
        <v>2203.92</v>
      </c>
      <c r="G55" s="3">
        <v>600</v>
      </c>
      <c r="H55" s="3">
        <v>60</v>
      </c>
      <c r="I55" s="3">
        <v>1800</v>
      </c>
      <c r="J55" s="3">
        <v>5000</v>
      </c>
      <c r="K55" s="3">
        <v>9663.92</v>
      </c>
      <c r="L55" s="4">
        <v>937.14</v>
      </c>
      <c r="M55" s="5">
        <v>46023</v>
      </c>
      <c r="N55" s="3">
        <f t="shared" si="0"/>
        <v>0</v>
      </c>
    </row>
    <row r="56" spans="1:19">
      <c r="A56" s="1">
        <v>9</v>
      </c>
      <c r="B56" s="2" t="s">
        <v>101</v>
      </c>
      <c r="C56" s="2" t="s">
        <v>904</v>
      </c>
      <c r="D56" s="2" t="s">
        <v>905</v>
      </c>
      <c r="E56" s="3">
        <v>32000</v>
      </c>
      <c r="F56" s="3">
        <v>2203.92</v>
      </c>
      <c r="G56" s="3">
        <v>640</v>
      </c>
      <c r="H56" s="3">
        <v>64</v>
      </c>
      <c r="I56" s="3">
        <v>1920</v>
      </c>
      <c r="J56" s="3">
        <v>5000</v>
      </c>
      <c r="K56" s="3">
        <v>9827.92</v>
      </c>
      <c r="L56" s="4">
        <v>1249.26</v>
      </c>
      <c r="M56" s="5">
        <v>46023</v>
      </c>
      <c r="N56" s="3">
        <f t="shared" si="0"/>
        <v>0</v>
      </c>
    </row>
    <row r="57" spans="1:19">
      <c r="A57" s="1">
        <v>10</v>
      </c>
      <c r="B57" s="2" t="s">
        <v>101</v>
      </c>
      <c r="C57" s="2" t="s">
        <v>906</v>
      </c>
      <c r="D57" s="2" t="s">
        <v>907</v>
      </c>
      <c r="E57" s="3">
        <v>36000</v>
      </c>
      <c r="F57" s="3">
        <v>2203.92</v>
      </c>
      <c r="G57" s="3">
        <v>672.66</v>
      </c>
      <c r="H57" s="3">
        <v>72</v>
      </c>
      <c r="I57" s="3">
        <v>2160</v>
      </c>
      <c r="J57" s="3">
        <v>5000</v>
      </c>
      <c r="K57" s="3">
        <v>10108.58</v>
      </c>
      <c r="L57" s="4">
        <v>1881.5</v>
      </c>
      <c r="M57" s="5">
        <v>46023</v>
      </c>
      <c r="N57" s="3">
        <f t="shared" si="0"/>
        <v>0</v>
      </c>
    </row>
    <row r="58" spans="1:19">
      <c r="A58" s="1">
        <v>11</v>
      </c>
      <c r="B58" s="2" t="s">
        <v>101</v>
      </c>
      <c r="C58" s="2" t="s">
        <v>908</v>
      </c>
      <c r="D58" s="2" t="s">
        <v>909</v>
      </c>
      <c r="E58" s="3">
        <v>29089.66</v>
      </c>
      <c r="F58" s="3">
        <v>2203.92</v>
      </c>
      <c r="G58" s="3">
        <v>600</v>
      </c>
      <c r="H58" s="3">
        <v>60</v>
      </c>
      <c r="I58" s="3">
        <v>1800</v>
      </c>
      <c r="J58" s="3">
        <v>5000</v>
      </c>
      <c r="K58" s="3">
        <v>9663.92</v>
      </c>
      <c r="L58" s="4">
        <v>846.1</v>
      </c>
      <c r="M58" s="5">
        <v>46023</v>
      </c>
      <c r="N58" s="3">
        <f t="shared" si="0"/>
        <v>0</v>
      </c>
    </row>
    <row r="59" spans="1:19">
      <c r="A59" s="1">
        <v>12</v>
      </c>
      <c r="B59" s="2" t="s">
        <v>101</v>
      </c>
      <c r="C59" s="2" t="s">
        <v>142</v>
      </c>
      <c r="D59" s="2" t="s">
        <v>143</v>
      </c>
      <c r="E59" s="3">
        <v>30000</v>
      </c>
      <c r="F59" s="3">
        <v>2203.92</v>
      </c>
      <c r="G59" s="3">
        <v>600</v>
      </c>
      <c r="H59" s="3">
        <v>60</v>
      </c>
      <c r="I59" s="3">
        <v>1800</v>
      </c>
      <c r="J59" s="3">
        <v>5000</v>
      </c>
      <c r="K59" s="3">
        <v>9663.92</v>
      </c>
      <c r="L59" s="4">
        <v>937.14</v>
      </c>
      <c r="M59" s="5">
        <v>46023</v>
      </c>
      <c r="N59" s="3">
        <f t="shared" si="0"/>
        <v>0</v>
      </c>
    </row>
    <row r="60" spans="1:19">
      <c r="A60" s="1">
        <v>13</v>
      </c>
      <c r="B60" s="2" t="s">
        <v>101</v>
      </c>
      <c r="C60" s="2" t="s">
        <v>910</v>
      </c>
      <c r="D60" s="2" t="s">
        <v>911</v>
      </c>
      <c r="E60" s="3">
        <v>36000</v>
      </c>
      <c r="F60" s="3">
        <v>2203.92</v>
      </c>
      <c r="G60" s="3">
        <v>672.66</v>
      </c>
      <c r="H60" s="3">
        <v>72</v>
      </c>
      <c r="I60" s="3">
        <v>2160</v>
      </c>
      <c r="J60" s="3">
        <v>5000</v>
      </c>
      <c r="K60" s="3">
        <v>10108.58</v>
      </c>
      <c r="L60" s="4">
        <v>1881.5</v>
      </c>
      <c r="M60" s="5">
        <v>46023</v>
      </c>
      <c r="N60" s="3">
        <f t="shared" si="0"/>
        <v>0</v>
      </c>
    </row>
    <row r="61" spans="1:19">
      <c r="A61" s="1">
        <v>14</v>
      </c>
      <c r="B61" s="2" t="s">
        <v>101</v>
      </c>
      <c r="C61" s="2" t="s">
        <v>146</v>
      </c>
      <c r="D61" s="2" t="s">
        <v>147</v>
      </c>
      <c r="E61" s="3">
        <v>20000</v>
      </c>
      <c r="F61" s="3">
        <v>1600</v>
      </c>
      <c r="G61" s="3">
        <v>400</v>
      </c>
      <c r="H61" s="3">
        <v>40</v>
      </c>
      <c r="I61" s="3">
        <v>1200</v>
      </c>
      <c r="J61" s="3">
        <v>5000</v>
      </c>
      <c r="K61" s="3">
        <v>8240</v>
      </c>
      <c r="L61" s="4">
        <v>352.8</v>
      </c>
      <c r="M61" s="5">
        <v>46023</v>
      </c>
      <c r="N61" s="3">
        <f t="shared" si="0"/>
        <v>0</v>
      </c>
    </row>
    <row r="62" spans="1:19">
      <c r="A62" s="1">
        <v>15</v>
      </c>
      <c r="B62" s="2" t="s">
        <v>101</v>
      </c>
      <c r="C62" s="2" t="s">
        <v>151</v>
      </c>
      <c r="D62" s="2" t="s">
        <v>152</v>
      </c>
      <c r="E62" s="3">
        <v>25000</v>
      </c>
      <c r="F62" s="3">
        <v>2000</v>
      </c>
      <c r="G62" s="3">
        <v>500</v>
      </c>
      <c r="H62" s="3">
        <v>50</v>
      </c>
      <c r="I62" s="3">
        <v>1500</v>
      </c>
      <c r="J62" s="3">
        <v>5000</v>
      </c>
      <c r="K62" s="3">
        <v>9050</v>
      </c>
      <c r="L62" s="4">
        <v>478.5</v>
      </c>
      <c r="M62" s="5">
        <v>46023</v>
      </c>
      <c r="N62" s="3">
        <f t="shared" si="0"/>
        <v>0</v>
      </c>
    </row>
    <row r="63" spans="1:19">
      <c r="A63" s="1">
        <v>16</v>
      </c>
      <c r="B63" s="2" t="s">
        <v>101</v>
      </c>
      <c r="C63" s="2" t="s">
        <v>155</v>
      </c>
      <c r="D63" s="2" t="s">
        <v>156</v>
      </c>
      <c r="E63" s="3">
        <v>23000</v>
      </c>
      <c r="F63" s="3">
        <v>1840</v>
      </c>
      <c r="G63" s="3">
        <v>460</v>
      </c>
      <c r="H63" s="3">
        <v>46</v>
      </c>
      <c r="I63" s="3">
        <v>1380</v>
      </c>
      <c r="J63" s="3">
        <v>5000</v>
      </c>
      <c r="K63" s="3">
        <v>8726</v>
      </c>
      <c r="L63" s="4">
        <v>428.22</v>
      </c>
      <c r="M63" s="5">
        <v>46023</v>
      </c>
      <c r="N63" s="3">
        <f t="shared" si="0"/>
        <v>0</v>
      </c>
    </row>
    <row r="64" spans="1:19">
      <c r="A64" s="1">
        <v>17</v>
      </c>
      <c r="B64" s="2" t="s">
        <v>101</v>
      </c>
      <c r="C64" s="2" t="s">
        <v>160</v>
      </c>
      <c r="D64" s="2" t="s">
        <v>161</v>
      </c>
      <c r="E64" s="3">
        <v>20000</v>
      </c>
      <c r="F64" s="3">
        <v>1600</v>
      </c>
      <c r="G64" s="3">
        <v>400</v>
      </c>
      <c r="H64" s="3">
        <v>40</v>
      </c>
      <c r="I64" s="3">
        <v>1200</v>
      </c>
      <c r="J64" s="3">
        <v>5000</v>
      </c>
      <c r="K64" s="3">
        <v>8240</v>
      </c>
      <c r="L64" s="4">
        <v>52.8</v>
      </c>
      <c r="M64" s="5">
        <v>46023</v>
      </c>
      <c r="N64" s="3">
        <f t="shared" si="0"/>
        <v>0</v>
      </c>
    </row>
    <row r="65" spans="1:14">
      <c r="A65" s="1">
        <v>18</v>
      </c>
      <c r="B65" s="2" t="s">
        <v>101</v>
      </c>
      <c r="C65" s="2" t="s">
        <v>165</v>
      </c>
      <c r="D65" s="2" t="s">
        <v>166</v>
      </c>
      <c r="E65" s="3">
        <v>22000</v>
      </c>
      <c r="F65" s="3">
        <v>1760</v>
      </c>
      <c r="G65" s="3">
        <v>440</v>
      </c>
      <c r="H65" s="3">
        <v>44</v>
      </c>
      <c r="I65" s="3">
        <v>1320</v>
      </c>
      <c r="J65" s="3">
        <v>5000</v>
      </c>
      <c r="K65" s="3">
        <v>8564</v>
      </c>
      <c r="L65" s="4">
        <v>403.08</v>
      </c>
      <c r="M65" s="5">
        <v>46023</v>
      </c>
      <c r="N65" s="3">
        <f t="shared" si="0"/>
        <v>0</v>
      </c>
    </row>
    <row r="66" spans="1:14">
      <c r="A66" s="1">
        <v>19</v>
      </c>
      <c r="B66" s="2" t="s">
        <v>101</v>
      </c>
      <c r="C66" s="2" t="s">
        <v>170</v>
      </c>
      <c r="D66" s="2" t="s">
        <v>171</v>
      </c>
      <c r="E66" s="3">
        <v>15000</v>
      </c>
      <c r="F66" s="3">
        <v>1200</v>
      </c>
      <c r="G66" s="3">
        <v>300</v>
      </c>
      <c r="H66" s="3">
        <v>30</v>
      </c>
      <c r="I66" s="3">
        <v>900</v>
      </c>
      <c r="J66" s="3">
        <v>5000</v>
      </c>
      <c r="K66" s="3">
        <v>7430</v>
      </c>
      <c r="L66" s="4">
        <v>227.1</v>
      </c>
      <c r="M66" s="5">
        <v>46023</v>
      </c>
      <c r="N66" s="3">
        <f t="shared" ref="N66:N129" si="1">K66-F66-G66-H66-I66-J66</f>
        <v>0</v>
      </c>
    </row>
    <row r="67" spans="1:14">
      <c r="A67" s="1">
        <v>20</v>
      </c>
      <c r="B67" s="2" t="s">
        <v>101</v>
      </c>
      <c r="C67" s="2" t="s">
        <v>175</v>
      </c>
      <c r="D67" s="2" t="s">
        <v>176</v>
      </c>
      <c r="E67" s="3">
        <v>25000</v>
      </c>
      <c r="F67" s="3">
        <v>2000</v>
      </c>
      <c r="G67" s="3">
        <v>500</v>
      </c>
      <c r="H67" s="3">
        <v>50</v>
      </c>
      <c r="I67" s="3">
        <v>1500</v>
      </c>
      <c r="J67" s="3">
        <v>5000</v>
      </c>
      <c r="K67" s="3">
        <v>9050</v>
      </c>
      <c r="L67" s="4">
        <v>478.5</v>
      </c>
      <c r="M67" s="5">
        <v>46023</v>
      </c>
      <c r="N67" s="3">
        <f t="shared" si="1"/>
        <v>0</v>
      </c>
    </row>
    <row r="68" spans="1:14">
      <c r="A68" s="1">
        <v>21</v>
      </c>
      <c r="B68" s="2" t="s">
        <v>101</v>
      </c>
      <c r="C68" s="2" t="s">
        <v>180</v>
      </c>
      <c r="D68" s="2" t="s">
        <v>181</v>
      </c>
      <c r="E68" s="3">
        <v>13000</v>
      </c>
      <c r="F68" s="3">
        <v>1040</v>
      </c>
      <c r="G68" s="3">
        <v>260</v>
      </c>
      <c r="H68" s="3">
        <v>26</v>
      </c>
      <c r="I68" s="3">
        <v>780</v>
      </c>
      <c r="J68" s="3">
        <v>5000</v>
      </c>
      <c r="K68" s="3">
        <v>7106</v>
      </c>
      <c r="L68" s="4">
        <v>86.82</v>
      </c>
      <c r="M68" s="5">
        <v>46023</v>
      </c>
      <c r="N68" s="3">
        <f t="shared" si="1"/>
        <v>0</v>
      </c>
    </row>
    <row r="69" spans="1:14">
      <c r="A69" s="1">
        <v>22</v>
      </c>
      <c r="B69" s="2" t="s">
        <v>101</v>
      </c>
      <c r="C69" s="2" t="s">
        <v>185</v>
      </c>
      <c r="D69" s="2" t="s">
        <v>186</v>
      </c>
      <c r="E69" s="3">
        <v>50000</v>
      </c>
      <c r="F69" s="3">
        <v>2203.92</v>
      </c>
      <c r="G69" s="3">
        <v>672.66</v>
      </c>
      <c r="H69" s="3">
        <v>88.53</v>
      </c>
      <c r="I69" s="3">
        <v>2655.9</v>
      </c>
      <c r="J69" s="3">
        <v>5000</v>
      </c>
      <c r="K69" s="3">
        <v>10621.01</v>
      </c>
      <c r="L69" s="4">
        <v>2637.9</v>
      </c>
      <c r="M69" s="5">
        <v>46023</v>
      </c>
      <c r="N69" s="3">
        <f t="shared" si="1"/>
        <v>0</v>
      </c>
    </row>
    <row r="70" spans="1:14">
      <c r="A70" s="1">
        <v>23</v>
      </c>
      <c r="B70" s="2" t="s">
        <v>101</v>
      </c>
      <c r="C70" s="2" t="s">
        <v>912</v>
      </c>
      <c r="D70" s="2" t="s">
        <v>913</v>
      </c>
      <c r="E70" s="3">
        <v>16000</v>
      </c>
      <c r="F70" s="3">
        <v>1280</v>
      </c>
      <c r="G70" s="3">
        <v>320</v>
      </c>
      <c r="H70" s="3">
        <v>32</v>
      </c>
      <c r="I70" s="3">
        <v>960</v>
      </c>
      <c r="J70" s="3">
        <v>5000</v>
      </c>
      <c r="K70" s="3">
        <v>7592</v>
      </c>
      <c r="L70" s="4">
        <v>252.24</v>
      </c>
      <c r="M70" s="5">
        <v>46023</v>
      </c>
      <c r="N70" s="3">
        <f t="shared" si="1"/>
        <v>0</v>
      </c>
    </row>
    <row r="71" spans="1:14">
      <c r="A71" s="1">
        <v>24</v>
      </c>
      <c r="B71" s="2" t="s">
        <v>101</v>
      </c>
      <c r="C71" s="2" t="s">
        <v>190</v>
      </c>
      <c r="D71" s="2" t="s">
        <v>191</v>
      </c>
      <c r="E71" s="3">
        <v>14000</v>
      </c>
      <c r="F71" s="3">
        <v>1120</v>
      </c>
      <c r="G71" s="3">
        <v>280</v>
      </c>
      <c r="H71" s="3">
        <v>28</v>
      </c>
      <c r="I71" s="3">
        <v>840</v>
      </c>
      <c r="J71" s="3">
        <v>5000</v>
      </c>
      <c r="K71" s="3">
        <v>7268</v>
      </c>
      <c r="L71" s="4">
        <v>201.96</v>
      </c>
      <c r="M71" s="5">
        <v>46023</v>
      </c>
      <c r="N71" s="3">
        <f t="shared" si="1"/>
        <v>0</v>
      </c>
    </row>
    <row r="72" spans="1:14">
      <c r="A72" s="1">
        <v>25</v>
      </c>
      <c r="B72" s="2" t="s">
        <v>101</v>
      </c>
      <c r="C72" s="2" t="s">
        <v>195</v>
      </c>
      <c r="D72" s="2" t="s">
        <v>196</v>
      </c>
      <c r="E72" s="3">
        <v>18000</v>
      </c>
      <c r="F72" s="3">
        <v>1440</v>
      </c>
      <c r="G72" s="3">
        <v>360</v>
      </c>
      <c r="H72" s="3">
        <v>36</v>
      </c>
      <c r="I72" s="3">
        <v>1080</v>
      </c>
      <c r="J72" s="3">
        <v>5000</v>
      </c>
      <c r="K72" s="3">
        <v>7916</v>
      </c>
      <c r="L72" s="4">
        <v>302.52</v>
      </c>
      <c r="M72" s="5">
        <v>46023</v>
      </c>
      <c r="N72" s="3">
        <f t="shared" si="1"/>
        <v>0</v>
      </c>
    </row>
    <row r="73" spans="1:14">
      <c r="A73" s="1">
        <v>26</v>
      </c>
      <c r="B73" s="2" t="s">
        <v>101</v>
      </c>
      <c r="C73" s="2" t="s">
        <v>200</v>
      </c>
      <c r="D73" s="2" t="s">
        <v>201</v>
      </c>
      <c r="E73" s="3">
        <v>11425.29</v>
      </c>
      <c r="F73" s="3">
        <v>1120</v>
      </c>
      <c r="G73" s="3">
        <v>280</v>
      </c>
      <c r="H73" s="3">
        <v>28</v>
      </c>
      <c r="I73" s="3">
        <v>840</v>
      </c>
      <c r="J73" s="3">
        <v>5000</v>
      </c>
      <c r="K73" s="3">
        <v>7268</v>
      </c>
      <c r="L73" s="4">
        <v>79.72</v>
      </c>
      <c r="M73" s="5">
        <v>46023</v>
      </c>
      <c r="N73" s="3">
        <f t="shared" si="1"/>
        <v>0</v>
      </c>
    </row>
    <row r="74" spans="1:14">
      <c r="A74" s="1">
        <v>27</v>
      </c>
      <c r="B74" s="2" t="s">
        <v>101</v>
      </c>
      <c r="C74" s="2" t="s">
        <v>204</v>
      </c>
      <c r="D74" s="2" t="s">
        <v>205</v>
      </c>
      <c r="E74" s="3">
        <v>33000</v>
      </c>
      <c r="F74" s="3">
        <v>2203.92</v>
      </c>
      <c r="G74" s="3">
        <v>660</v>
      </c>
      <c r="H74" s="3">
        <v>66</v>
      </c>
      <c r="I74" s="3">
        <v>1980</v>
      </c>
      <c r="J74" s="3">
        <v>5000</v>
      </c>
      <c r="K74" s="3">
        <v>9909.92</v>
      </c>
      <c r="L74" s="4">
        <v>1405.32</v>
      </c>
      <c r="M74" s="5">
        <v>46023</v>
      </c>
      <c r="N74" s="3">
        <f t="shared" si="1"/>
        <v>0</v>
      </c>
    </row>
    <row r="75" spans="1:14">
      <c r="A75" s="1">
        <v>28</v>
      </c>
      <c r="B75" s="2" t="s">
        <v>101</v>
      </c>
      <c r="C75" s="2" t="s">
        <v>209</v>
      </c>
      <c r="D75" s="2" t="s">
        <v>210</v>
      </c>
      <c r="E75" s="3">
        <v>19000</v>
      </c>
      <c r="F75" s="3">
        <v>1520</v>
      </c>
      <c r="G75" s="3">
        <v>380</v>
      </c>
      <c r="H75" s="3">
        <v>38</v>
      </c>
      <c r="I75" s="3">
        <v>1140</v>
      </c>
      <c r="J75" s="3">
        <v>5000</v>
      </c>
      <c r="K75" s="3">
        <v>8078</v>
      </c>
      <c r="L75" s="4">
        <v>327.66</v>
      </c>
      <c r="M75" s="5">
        <v>46023</v>
      </c>
      <c r="N75" s="3">
        <f t="shared" si="1"/>
        <v>0</v>
      </c>
    </row>
    <row r="76" spans="1:14">
      <c r="A76" s="1">
        <v>29</v>
      </c>
      <c r="B76" s="2" t="s">
        <v>101</v>
      </c>
      <c r="C76" s="2" t="s">
        <v>214</v>
      </c>
      <c r="D76" s="2" t="s">
        <v>215</v>
      </c>
      <c r="E76" s="3">
        <v>20000</v>
      </c>
      <c r="F76" s="3">
        <v>1600</v>
      </c>
      <c r="G76" s="3">
        <v>400</v>
      </c>
      <c r="H76" s="3">
        <v>40</v>
      </c>
      <c r="I76" s="3">
        <v>1200</v>
      </c>
      <c r="J76" s="3">
        <v>5000</v>
      </c>
      <c r="K76" s="3">
        <v>8240</v>
      </c>
      <c r="L76" s="4">
        <v>352.8</v>
      </c>
      <c r="M76" s="5">
        <v>46023</v>
      </c>
      <c r="N76" s="3">
        <f t="shared" si="1"/>
        <v>0</v>
      </c>
    </row>
    <row r="77" spans="1:14">
      <c r="A77" s="1">
        <v>30</v>
      </c>
      <c r="B77" s="2" t="s">
        <v>101</v>
      </c>
      <c r="C77" s="2" t="s">
        <v>218</v>
      </c>
      <c r="D77" s="2" t="s">
        <v>219</v>
      </c>
      <c r="E77" s="3">
        <v>30000</v>
      </c>
      <c r="F77" s="3">
        <v>2203.92</v>
      </c>
      <c r="G77" s="3">
        <v>600</v>
      </c>
      <c r="H77" s="3">
        <v>60</v>
      </c>
      <c r="I77" s="3">
        <v>1800</v>
      </c>
      <c r="J77" s="3">
        <v>5000</v>
      </c>
      <c r="K77" s="3">
        <v>9663.92</v>
      </c>
      <c r="L77" s="4">
        <v>937.14</v>
      </c>
      <c r="M77" s="5">
        <v>46023</v>
      </c>
      <c r="N77" s="3">
        <f t="shared" si="1"/>
        <v>0</v>
      </c>
    </row>
    <row r="78" spans="1:14">
      <c r="A78" s="1">
        <v>31</v>
      </c>
      <c r="B78" s="2" t="s">
        <v>101</v>
      </c>
      <c r="C78" s="2" t="s">
        <v>223</v>
      </c>
      <c r="D78" s="2" t="s">
        <v>224</v>
      </c>
      <c r="E78" s="3">
        <v>20000</v>
      </c>
      <c r="F78" s="3">
        <v>1600</v>
      </c>
      <c r="G78" s="3">
        <v>400</v>
      </c>
      <c r="H78" s="3">
        <v>40</v>
      </c>
      <c r="I78" s="3">
        <v>1200</v>
      </c>
      <c r="J78" s="3">
        <v>5000</v>
      </c>
      <c r="K78" s="3">
        <v>8240</v>
      </c>
      <c r="L78" s="4">
        <v>292.8</v>
      </c>
      <c r="M78" s="5">
        <v>46023</v>
      </c>
      <c r="N78" s="3">
        <f t="shared" si="1"/>
        <v>0</v>
      </c>
    </row>
    <row r="79" spans="1:14">
      <c r="A79" s="1">
        <v>32</v>
      </c>
      <c r="B79" s="2" t="s">
        <v>101</v>
      </c>
      <c r="C79" s="2" t="s">
        <v>228</v>
      </c>
      <c r="D79" s="2" t="s">
        <v>229</v>
      </c>
      <c r="E79" s="3">
        <v>25000</v>
      </c>
      <c r="F79" s="3">
        <v>2000</v>
      </c>
      <c r="G79" s="3">
        <v>500</v>
      </c>
      <c r="H79" s="3">
        <v>50</v>
      </c>
      <c r="I79" s="3">
        <v>1500</v>
      </c>
      <c r="J79" s="3">
        <v>5000</v>
      </c>
      <c r="K79" s="3">
        <v>9050</v>
      </c>
      <c r="L79" s="4">
        <v>478.5</v>
      </c>
      <c r="M79" s="5">
        <v>46023</v>
      </c>
      <c r="N79" s="3">
        <f t="shared" si="1"/>
        <v>0</v>
      </c>
    </row>
    <row r="80" spans="1:14">
      <c r="A80" s="1">
        <v>33</v>
      </c>
      <c r="B80" s="2" t="s">
        <v>101</v>
      </c>
      <c r="C80" s="2" t="s">
        <v>233</v>
      </c>
      <c r="D80" s="2" t="s">
        <v>234</v>
      </c>
      <c r="E80" s="3">
        <v>35172.41</v>
      </c>
      <c r="F80" s="3">
        <v>2203.92</v>
      </c>
      <c r="G80" s="3">
        <v>672.66</v>
      </c>
      <c r="H80" s="3">
        <v>72</v>
      </c>
      <c r="I80" s="3">
        <v>2160</v>
      </c>
      <c r="J80" s="3">
        <v>5000</v>
      </c>
      <c r="K80" s="3">
        <v>10108.58</v>
      </c>
      <c r="L80" s="4">
        <v>1798.74</v>
      </c>
      <c r="M80" s="5">
        <v>46023</v>
      </c>
      <c r="N80" s="3">
        <f t="shared" si="1"/>
        <v>0</v>
      </c>
    </row>
    <row r="81" spans="1:19">
      <c r="A81" s="1">
        <v>34</v>
      </c>
      <c r="B81" s="2" t="s">
        <v>101</v>
      </c>
      <c r="C81" s="2" t="s">
        <v>238</v>
      </c>
      <c r="D81" s="2" t="s">
        <v>239</v>
      </c>
      <c r="E81" s="3">
        <v>19080.46</v>
      </c>
      <c r="F81" s="3">
        <v>1600</v>
      </c>
      <c r="G81" s="3">
        <v>400</v>
      </c>
      <c r="H81" s="3">
        <v>40</v>
      </c>
      <c r="I81" s="3">
        <v>1200</v>
      </c>
      <c r="J81" s="3">
        <v>5000</v>
      </c>
      <c r="K81" s="3">
        <v>8240</v>
      </c>
      <c r="L81" s="4">
        <v>325.21</v>
      </c>
      <c r="M81" s="5">
        <v>46023</v>
      </c>
      <c r="N81" s="3">
        <f t="shared" si="1"/>
        <v>0</v>
      </c>
    </row>
    <row r="82" spans="1:19">
      <c r="A82" s="1">
        <v>35</v>
      </c>
      <c r="B82" s="2" t="s">
        <v>101</v>
      </c>
      <c r="C82" s="2" t="s">
        <v>242</v>
      </c>
      <c r="D82" s="2" t="s">
        <v>243</v>
      </c>
      <c r="E82" s="3">
        <v>23000</v>
      </c>
      <c r="F82" s="3">
        <v>1840</v>
      </c>
      <c r="G82" s="3">
        <v>460</v>
      </c>
      <c r="H82" s="3">
        <v>46</v>
      </c>
      <c r="I82" s="3">
        <v>1380</v>
      </c>
      <c r="J82" s="3">
        <v>5000</v>
      </c>
      <c r="K82" s="3">
        <v>8726</v>
      </c>
      <c r="L82" s="4">
        <v>428.22</v>
      </c>
      <c r="M82" s="5">
        <v>46023</v>
      </c>
      <c r="N82" s="3">
        <f t="shared" si="1"/>
        <v>0</v>
      </c>
    </row>
    <row r="83" spans="1:19">
      <c r="A83" s="1">
        <v>36</v>
      </c>
      <c r="B83" s="2" t="s">
        <v>101</v>
      </c>
      <c r="C83" s="2" t="s">
        <v>247</v>
      </c>
      <c r="D83" s="2" t="s">
        <v>248</v>
      </c>
      <c r="E83" s="3">
        <v>8000</v>
      </c>
      <c r="F83" s="3">
        <v>640</v>
      </c>
      <c r="G83" s="3">
        <v>160</v>
      </c>
      <c r="H83" s="3">
        <v>16</v>
      </c>
      <c r="I83" s="3">
        <v>480</v>
      </c>
      <c r="J83" s="3">
        <v>5000</v>
      </c>
      <c r="K83" s="3">
        <v>6296</v>
      </c>
      <c r="L83" s="4">
        <v>0</v>
      </c>
      <c r="M83" s="5">
        <v>46023</v>
      </c>
      <c r="N83" s="3">
        <f t="shared" si="1"/>
        <v>0</v>
      </c>
    </row>
    <row r="84" spans="1:19">
      <c r="A84" s="1">
        <v>37</v>
      </c>
      <c r="B84" s="2" t="s">
        <v>101</v>
      </c>
      <c r="C84" s="2" t="s">
        <v>252</v>
      </c>
      <c r="D84" s="2" t="s">
        <v>253</v>
      </c>
      <c r="E84" s="3">
        <v>19000</v>
      </c>
      <c r="F84" s="3">
        <v>1520</v>
      </c>
      <c r="G84" s="3">
        <v>380</v>
      </c>
      <c r="H84" s="3">
        <v>38</v>
      </c>
      <c r="I84" s="3">
        <v>1140</v>
      </c>
      <c r="J84" s="3">
        <v>5000</v>
      </c>
      <c r="K84" s="3">
        <v>8078</v>
      </c>
      <c r="L84" s="4">
        <v>327.66</v>
      </c>
      <c r="M84" s="5">
        <v>46023</v>
      </c>
      <c r="N84" s="3">
        <f t="shared" si="1"/>
        <v>0</v>
      </c>
    </row>
    <row r="85" spans="1:19">
      <c r="A85" s="1">
        <v>38</v>
      </c>
      <c r="B85" s="2" t="s">
        <v>101</v>
      </c>
      <c r="C85" s="2" t="s">
        <v>257</v>
      </c>
      <c r="D85" s="2" t="s">
        <v>258</v>
      </c>
      <c r="E85" s="3">
        <v>30000</v>
      </c>
      <c r="F85" s="3">
        <v>2203.92</v>
      </c>
      <c r="G85" s="3">
        <v>600</v>
      </c>
      <c r="H85" s="3">
        <v>60</v>
      </c>
      <c r="I85" s="3">
        <v>1800</v>
      </c>
      <c r="J85" s="3">
        <v>5000</v>
      </c>
      <c r="K85" s="3">
        <v>9663.92</v>
      </c>
      <c r="L85" s="4">
        <v>840.59</v>
      </c>
      <c r="M85" s="5">
        <v>46023</v>
      </c>
      <c r="N85" s="3">
        <f t="shared" si="1"/>
        <v>0</v>
      </c>
    </row>
    <row r="86" spans="1:19">
      <c r="A86" s="1">
        <v>39</v>
      </c>
      <c r="B86" s="2" t="s">
        <v>101</v>
      </c>
      <c r="C86" s="2" t="s">
        <v>262</v>
      </c>
      <c r="D86" s="2" t="s">
        <v>263</v>
      </c>
      <c r="E86" s="3">
        <v>45000</v>
      </c>
      <c r="F86" s="3">
        <v>2203.92</v>
      </c>
      <c r="G86" s="3">
        <v>672.66</v>
      </c>
      <c r="H86" s="3">
        <v>88.53</v>
      </c>
      <c r="I86" s="3">
        <v>2655.9</v>
      </c>
      <c r="J86" s="3">
        <v>5000</v>
      </c>
      <c r="K86" s="3">
        <v>10621.01</v>
      </c>
      <c r="L86" s="4">
        <v>3324.38</v>
      </c>
      <c r="M86" s="5">
        <v>46023</v>
      </c>
      <c r="N86" s="3">
        <f t="shared" si="1"/>
        <v>0</v>
      </c>
    </row>
    <row r="87" spans="1:19">
      <c r="A87" s="1">
        <v>40</v>
      </c>
      <c r="B87" s="2" t="s">
        <v>101</v>
      </c>
      <c r="C87" s="2" t="s">
        <v>267</v>
      </c>
      <c r="D87" s="2" t="s">
        <v>268</v>
      </c>
      <c r="E87" s="3">
        <v>19339.31</v>
      </c>
      <c r="F87" s="3">
        <v>1680</v>
      </c>
      <c r="G87" s="3">
        <v>420</v>
      </c>
      <c r="H87" s="3">
        <v>42</v>
      </c>
      <c r="I87" s="3">
        <v>1260</v>
      </c>
      <c r="J87" s="3">
        <v>5000</v>
      </c>
      <c r="K87" s="3">
        <v>8402</v>
      </c>
      <c r="L87" s="4">
        <v>328.12</v>
      </c>
      <c r="M87" s="5">
        <v>46023</v>
      </c>
      <c r="N87" s="3">
        <f t="shared" si="1"/>
        <v>0</v>
      </c>
    </row>
    <row r="88" spans="1:19">
      <c r="A88" s="1">
        <v>41</v>
      </c>
      <c r="B88" s="2" t="s">
        <v>101</v>
      </c>
      <c r="C88" s="2" t="s">
        <v>918</v>
      </c>
      <c r="D88" s="2" t="s">
        <v>919</v>
      </c>
      <c r="E88" s="3">
        <v>4000</v>
      </c>
      <c r="F88" s="3">
        <v>0</v>
      </c>
      <c r="G88" s="3">
        <v>0</v>
      </c>
      <c r="H88" s="3">
        <v>0</v>
      </c>
      <c r="I88" s="3">
        <v>0</v>
      </c>
      <c r="J88" s="3">
        <v>5000</v>
      </c>
      <c r="K88" s="3">
        <v>5000</v>
      </c>
      <c r="L88" s="4">
        <v>0</v>
      </c>
      <c r="M88" s="5">
        <v>46023</v>
      </c>
      <c r="N88" s="3">
        <f t="shared" si="1"/>
        <v>0</v>
      </c>
    </row>
    <row r="89" spans="1:19">
      <c r="A89" s="1">
        <v>42</v>
      </c>
      <c r="B89" s="2" t="s">
        <v>101</v>
      </c>
      <c r="C89" s="2" t="s">
        <v>272</v>
      </c>
      <c r="D89" s="2" t="s">
        <v>273</v>
      </c>
      <c r="E89" s="3">
        <v>35000</v>
      </c>
      <c r="F89" s="3">
        <v>2203.92</v>
      </c>
      <c r="G89" s="3">
        <v>672.66</v>
      </c>
      <c r="H89" s="3">
        <v>70</v>
      </c>
      <c r="I89" s="3">
        <v>2100</v>
      </c>
      <c r="J89" s="3">
        <v>5000</v>
      </c>
      <c r="K89" s="3">
        <v>10046.58</v>
      </c>
      <c r="L89" s="4">
        <v>933.53</v>
      </c>
      <c r="M89" s="5">
        <v>46023</v>
      </c>
      <c r="N89" s="3">
        <f t="shared" si="1"/>
        <v>0</v>
      </c>
    </row>
    <row r="90" spans="1:19">
      <c r="A90" s="1">
        <v>43</v>
      </c>
      <c r="B90" s="2" t="s">
        <v>101</v>
      </c>
      <c r="C90" s="2" t="s">
        <v>277</v>
      </c>
      <c r="D90" s="2" t="s">
        <v>278</v>
      </c>
      <c r="E90" s="3">
        <v>26500</v>
      </c>
      <c r="F90" s="3">
        <v>2120</v>
      </c>
      <c r="G90" s="3">
        <v>530</v>
      </c>
      <c r="H90" s="3">
        <v>53</v>
      </c>
      <c r="I90" s="3">
        <v>1590</v>
      </c>
      <c r="J90" s="3">
        <v>5000</v>
      </c>
      <c r="K90" s="3">
        <v>9293</v>
      </c>
      <c r="L90" s="4">
        <v>516.21</v>
      </c>
      <c r="M90" s="5">
        <v>46023</v>
      </c>
      <c r="N90" s="3">
        <f t="shared" si="1"/>
        <v>0</v>
      </c>
    </row>
    <row r="91" spans="1:19">
      <c r="A91" s="1">
        <v>44</v>
      </c>
      <c r="B91" s="2" t="s">
        <v>101</v>
      </c>
      <c r="C91" s="2" t="s">
        <v>282</v>
      </c>
      <c r="D91" s="2" t="s">
        <v>283</v>
      </c>
      <c r="E91" s="3">
        <v>16000</v>
      </c>
      <c r="F91" s="3">
        <v>1280</v>
      </c>
      <c r="G91" s="3">
        <v>320</v>
      </c>
      <c r="H91" s="3">
        <v>32</v>
      </c>
      <c r="I91" s="3">
        <v>960</v>
      </c>
      <c r="J91" s="3">
        <v>5000</v>
      </c>
      <c r="K91" s="3">
        <v>7592</v>
      </c>
      <c r="L91" s="4">
        <v>252.24</v>
      </c>
      <c r="M91" s="5">
        <v>46023</v>
      </c>
      <c r="N91" s="3">
        <f t="shared" si="1"/>
        <v>0</v>
      </c>
    </row>
    <row r="92" spans="1:19">
      <c r="A92" s="1">
        <v>45</v>
      </c>
      <c r="B92" s="2" t="s">
        <v>101</v>
      </c>
      <c r="C92" s="2" t="s">
        <v>920</v>
      </c>
      <c r="D92" s="2" t="s">
        <v>921</v>
      </c>
      <c r="E92" s="3">
        <v>9494.25</v>
      </c>
      <c r="F92" s="3">
        <v>0</v>
      </c>
      <c r="G92" s="3">
        <v>0</v>
      </c>
      <c r="H92" s="3">
        <v>0</v>
      </c>
      <c r="I92" s="3">
        <v>840</v>
      </c>
      <c r="J92" s="3">
        <v>5000</v>
      </c>
      <c r="K92" s="3">
        <v>5840</v>
      </c>
      <c r="L92" s="4">
        <v>109.63</v>
      </c>
      <c r="M92" s="5">
        <v>46023</v>
      </c>
      <c r="N92" s="3">
        <f t="shared" si="1"/>
        <v>0</v>
      </c>
    </row>
    <row r="93" spans="1:19">
      <c r="A93" s="1">
        <v>46</v>
      </c>
      <c r="B93" s="2" t="s">
        <v>101</v>
      </c>
      <c r="C93" s="2" t="s">
        <v>287</v>
      </c>
      <c r="D93" s="2" t="s">
        <v>288</v>
      </c>
      <c r="E93" s="3">
        <v>5977.01</v>
      </c>
      <c r="F93" s="3">
        <v>0</v>
      </c>
      <c r="G93" s="3">
        <v>0</v>
      </c>
      <c r="H93" s="3">
        <v>0</v>
      </c>
      <c r="I93" s="3">
        <v>0</v>
      </c>
      <c r="J93" s="3">
        <v>5000</v>
      </c>
      <c r="K93" s="3">
        <v>5000</v>
      </c>
      <c r="L93" s="4">
        <v>29.31</v>
      </c>
      <c r="M93" s="5">
        <v>46023</v>
      </c>
      <c r="N93" s="3">
        <f t="shared" si="1"/>
        <v>0</v>
      </c>
    </row>
    <row r="94" spans="1:19">
      <c r="A94" s="1">
        <v>47</v>
      </c>
      <c r="B94" s="2" t="s">
        <v>101</v>
      </c>
      <c r="C94" s="2" t="s">
        <v>292</v>
      </c>
      <c r="D94" s="2" t="s">
        <v>293</v>
      </c>
      <c r="E94" s="3">
        <v>1839.08</v>
      </c>
      <c r="F94" s="3">
        <v>0</v>
      </c>
      <c r="G94" s="3">
        <v>0</v>
      </c>
      <c r="H94" s="3">
        <v>0</v>
      </c>
      <c r="I94" s="3">
        <v>0</v>
      </c>
      <c r="J94" s="3">
        <v>5000</v>
      </c>
      <c r="K94" s="3">
        <v>5000</v>
      </c>
      <c r="L94" s="4">
        <v>0</v>
      </c>
      <c r="M94" s="5">
        <v>46023</v>
      </c>
      <c r="N94" s="3">
        <f t="shared" si="1"/>
        <v>0</v>
      </c>
    </row>
    <row r="95" spans="1:19">
      <c r="A95" s="1">
        <v>48</v>
      </c>
      <c r="B95" s="2" t="s">
        <v>101</v>
      </c>
      <c r="C95" s="2" t="s">
        <v>296</v>
      </c>
      <c r="D95" s="2" t="s">
        <v>297</v>
      </c>
      <c r="E95" s="3">
        <v>3218.39</v>
      </c>
      <c r="F95" s="3">
        <v>0</v>
      </c>
      <c r="G95" s="3">
        <v>0</v>
      </c>
      <c r="H95" s="3">
        <v>0</v>
      </c>
      <c r="I95" s="3">
        <v>0</v>
      </c>
      <c r="J95" s="3">
        <v>5000</v>
      </c>
      <c r="K95" s="3">
        <v>5000</v>
      </c>
      <c r="L95" s="4">
        <v>0</v>
      </c>
      <c r="M95" s="5">
        <v>46023</v>
      </c>
      <c r="N95" s="3">
        <f t="shared" si="1"/>
        <v>0</v>
      </c>
    </row>
    <row r="96" spans="1:19">
      <c r="A96" s="1">
        <v>1</v>
      </c>
      <c r="B96" s="2" t="s">
        <v>101</v>
      </c>
      <c r="C96" s="2" t="s">
        <v>102</v>
      </c>
      <c r="D96" s="2" t="s">
        <v>103</v>
      </c>
      <c r="E96" s="3">
        <v>50100</v>
      </c>
      <c r="F96" s="3">
        <v>2203.92</v>
      </c>
      <c r="G96" s="3">
        <v>672.66</v>
      </c>
      <c r="H96" s="3">
        <v>88.53</v>
      </c>
      <c r="I96" s="3">
        <v>2655.9</v>
      </c>
      <c r="J96" s="3">
        <v>5000</v>
      </c>
      <c r="K96" s="3">
        <v>10621.01</v>
      </c>
      <c r="L96" s="4">
        <v>3947.9</v>
      </c>
      <c r="M96" s="5">
        <v>46054</v>
      </c>
      <c r="N96" s="3">
        <f t="shared" si="1"/>
        <v>0</v>
      </c>
      <c r="Q96" s="7" t="s">
        <v>20</v>
      </c>
      <c r="R96" s="7" t="s">
        <v>90</v>
      </c>
      <c r="S96" s="7" t="s">
        <v>901</v>
      </c>
    </row>
    <row r="97" spans="1:19">
      <c r="A97" s="1">
        <v>2</v>
      </c>
      <c r="B97" s="2" t="s">
        <v>101</v>
      </c>
      <c r="C97" s="2" t="s">
        <v>108</v>
      </c>
      <c r="D97" s="2" t="s">
        <v>109</v>
      </c>
      <c r="E97" s="3">
        <v>14100</v>
      </c>
      <c r="F97" s="3">
        <v>1120</v>
      </c>
      <c r="G97" s="3">
        <v>280</v>
      </c>
      <c r="H97" s="3">
        <v>28</v>
      </c>
      <c r="I97" s="3">
        <v>840</v>
      </c>
      <c r="J97" s="3">
        <v>5000</v>
      </c>
      <c r="K97" s="3">
        <v>7268</v>
      </c>
      <c r="L97" s="4">
        <v>159.96</v>
      </c>
      <c r="M97" s="5">
        <v>46054</v>
      </c>
      <c r="N97" s="3">
        <f t="shared" si="1"/>
        <v>0</v>
      </c>
      <c r="Q97" s="7">
        <f>SUM(E96:E146)</f>
        <v>1191912.63</v>
      </c>
      <c r="R97" s="7">
        <f>SUM(K96:K146)</f>
        <v>419620.32</v>
      </c>
      <c r="S97" s="7">
        <f>SUM(L96:L146)</f>
        <v>58270.84</v>
      </c>
    </row>
    <row r="98" spans="1:19">
      <c r="A98" s="1">
        <v>3</v>
      </c>
      <c r="B98" s="2" t="s">
        <v>101</v>
      </c>
      <c r="C98" s="2" t="s">
        <v>113</v>
      </c>
      <c r="D98" s="2" t="s">
        <v>114</v>
      </c>
      <c r="E98" s="3">
        <v>50100</v>
      </c>
      <c r="F98" s="3">
        <v>2203.92</v>
      </c>
      <c r="G98" s="3">
        <v>672.66</v>
      </c>
      <c r="H98" s="3">
        <v>88.53</v>
      </c>
      <c r="I98" s="3">
        <v>2655.9</v>
      </c>
      <c r="J98" s="3">
        <v>5000</v>
      </c>
      <c r="K98" s="3">
        <v>10621.01</v>
      </c>
      <c r="L98" s="4">
        <v>3947.9</v>
      </c>
      <c r="M98" s="5">
        <v>46054</v>
      </c>
      <c r="N98" s="3">
        <f t="shared" si="1"/>
        <v>0</v>
      </c>
    </row>
    <row r="99" spans="1:19">
      <c r="A99" s="1">
        <v>4</v>
      </c>
      <c r="B99" s="2" t="s">
        <v>101</v>
      </c>
      <c r="C99" s="2" t="s">
        <v>118</v>
      </c>
      <c r="D99" s="2" t="s">
        <v>119</v>
      </c>
      <c r="E99" s="3">
        <v>48100</v>
      </c>
      <c r="F99" s="3">
        <v>2203.92</v>
      </c>
      <c r="G99" s="3">
        <v>672.66</v>
      </c>
      <c r="H99" s="3">
        <v>88.53</v>
      </c>
      <c r="I99" s="3">
        <v>2655.9</v>
      </c>
      <c r="J99" s="3">
        <v>5000</v>
      </c>
      <c r="K99" s="3">
        <v>10621.01</v>
      </c>
      <c r="L99" s="4">
        <v>3747.9</v>
      </c>
      <c r="M99" s="5">
        <v>46054</v>
      </c>
      <c r="N99" s="3">
        <f t="shared" si="1"/>
        <v>0</v>
      </c>
      <c r="Q99" s="7">
        <v>1191912.63</v>
      </c>
      <c r="R99" s="7">
        <v>419620.32</v>
      </c>
      <c r="S99" s="7">
        <v>58270.84</v>
      </c>
    </row>
    <row r="100" spans="1:19">
      <c r="A100" s="1">
        <v>5</v>
      </c>
      <c r="B100" s="2" t="s">
        <v>101</v>
      </c>
      <c r="C100" s="2" t="s">
        <v>123</v>
      </c>
      <c r="D100" s="2" t="s">
        <v>124</v>
      </c>
      <c r="E100" s="3">
        <v>45100</v>
      </c>
      <c r="F100" s="3">
        <v>2203.92</v>
      </c>
      <c r="G100" s="3">
        <v>672.66</v>
      </c>
      <c r="H100" s="3">
        <v>88.53</v>
      </c>
      <c r="I100" s="3">
        <v>2655.9</v>
      </c>
      <c r="J100" s="3">
        <v>5000</v>
      </c>
      <c r="K100" s="3">
        <v>10621.01</v>
      </c>
      <c r="L100" s="4">
        <v>3447.9</v>
      </c>
      <c r="M100" s="5">
        <v>46054</v>
      </c>
      <c r="N100" s="3">
        <f t="shared" si="1"/>
        <v>0</v>
      </c>
    </row>
    <row r="101" spans="1:19">
      <c r="A101" s="1">
        <v>6</v>
      </c>
      <c r="B101" s="2" t="s">
        <v>101</v>
      </c>
      <c r="C101" s="2" t="s">
        <v>128</v>
      </c>
      <c r="D101" s="2" t="s">
        <v>129</v>
      </c>
      <c r="E101" s="3">
        <v>35100</v>
      </c>
      <c r="F101" s="3">
        <v>0</v>
      </c>
      <c r="G101" s="3">
        <v>0</v>
      </c>
      <c r="H101" s="3">
        <v>0</v>
      </c>
      <c r="I101" s="3">
        <v>0</v>
      </c>
      <c r="J101" s="3">
        <v>5000</v>
      </c>
      <c r="K101" s="3">
        <v>5000</v>
      </c>
      <c r="L101" s="4">
        <v>3010</v>
      </c>
      <c r="M101" s="5">
        <v>46054</v>
      </c>
      <c r="N101" s="3">
        <f t="shared" si="1"/>
        <v>0</v>
      </c>
      <c r="Q101" s="7">
        <f>Q97-Q99</f>
        <v>0</v>
      </c>
      <c r="R101" s="7">
        <f>R97-R99</f>
        <v>0</v>
      </c>
      <c r="S101" s="7">
        <f>S97-S99</f>
        <v>0</v>
      </c>
    </row>
    <row r="102" spans="1:19">
      <c r="A102" s="1">
        <v>7</v>
      </c>
      <c r="B102" s="2" t="s">
        <v>101</v>
      </c>
      <c r="C102" s="2" t="s">
        <v>133</v>
      </c>
      <c r="D102" s="2" t="s">
        <v>134</v>
      </c>
      <c r="E102" s="3">
        <v>18100</v>
      </c>
      <c r="F102" s="3">
        <v>1440</v>
      </c>
      <c r="G102" s="3">
        <v>360</v>
      </c>
      <c r="H102" s="3">
        <v>36</v>
      </c>
      <c r="I102" s="3">
        <v>1080</v>
      </c>
      <c r="J102" s="3">
        <v>5000</v>
      </c>
      <c r="K102" s="3">
        <v>7916</v>
      </c>
      <c r="L102" s="4">
        <v>305.52</v>
      </c>
      <c r="M102" s="5">
        <v>46054</v>
      </c>
      <c r="N102" s="3">
        <f t="shared" si="1"/>
        <v>0</v>
      </c>
    </row>
    <row r="103" spans="1:19">
      <c r="A103" s="1">
        <v>8</v>
      </c>
      <c r="B103" s="2" t="s">
        <v>101</v>
      </c>
      <c r="C103" s="2" t="s">
        <v>138</v>
      </c>
      <c r="D103" s="2" t="s">
        <v>139</v>
      </c>
      <c r="E103" s="3">
        <v>30100</v>
      </c>
      <c r="F103" s="3">
        <v>2203.92</v>
      </c>
      <c r="G103" s="3">
        <v>600</v>
      </c>
      <c r="H103" s="3">
        <v>60</v>
      </c>
      <c r="I103" s="3">
        <v>1800</v>
      </c>
      <c r="J103" s="3">
        <v>5000</v>
      </c>
      <c r="K103" s="3">
        <v>9663.92</v>
      </c>
      <c r="L103" s="4">
        <v>2043.6</v>
      </c>
      <c r="M103" s="5">
        <v>46054</v>
      </c>
      <c r="N103" s="3">
        <f t="shared" si="1"/>
        <v>0</v>
      </c>
    </row>
    <row r="104" spans="1:19">
      <c r="A104" s="1">
        <v>9</v>
      </c>
      <c r="B104" s="2" t="s">
        <v>101</v>
      </c>
      <c r="C104" s="2" t="s">
        <v>904</v>
      </c>
      <c r="D104" s="2" t="s">
        <v>905</v>
      </c>
      <c r="E104" s="3">
        <v>32100</v>
      </c>
      <c r="F104" s="3">
        <v>2203.92</v>
      </c>
      <c r="G104" s="3">
        <v>640</v>
      </c>
      <c r="H104" s="3">
        <v>64</v>
      </c>
      <c r="I104" s="3">
        <v>1920</v>
      </c>
      <c r="J104" s="3">
        <v>5000</v>
      </c>
      <c r="K104" s="3">
        <v>9827.92</v>
      </c>
      <c r="L104" s="4">
        <v>2227.2</v>
      </c>
      <c r="M104" s="5">
        <v>46054</v>
      </c>
      <c r="N104" s="3">
        <f t="shared" si="1"/>
        <v>0</v>
      </c>
    </row>
    <row r="105" spans="1:19">
      <c r="A105" s="1">
        <v>10</v>
      </c>
      <c r="B105" s="2" t="s">
        <v>101</v>
      </c>
      <c r="C105" s="2" t="s">
        <v>906</v>
      </c>
      <c r="D105" s="2" t="s">
        <v>907</v>
      </c>
      <c r="E105" s="3">
        <v>36100</v>
      </c>
      <c r="F105" s="3">
        <v>2203.92</v>
      </c>
      <c r="G105" s="3">
        <v>672.66</v>
      </c>
      <c r="H105" s="3">
        <v>72</v>
      </c>
      <c r="I105" s="3">
        <v>2160</v>
      </c>
      <c r="J105" s="3">
        <v>5000</v>
      </c>
      <c r="K105" s="3">
        <v>10108.58</v>
      </c>
      <c r="L105" s="4">
        <v>499.14</v>
      </c>
      <c r="M105" s="5">
        <v>46054</v>
      </c>
      <c r="N105" s="3">
        <f t="shared" si="1"/>
        <v>0</v>
      </c>
    </row>
    <row r="106" spans="1:19">
      <c r="A106" s="1">
        <v>11</v>
      </c>
      <c r="B106" s="2" t="s">
        <v>101</v>
      </c>
      <c r="C106" s="2" t="s">
        <v>908</v>
      </c>
      <c r="D106" s="2" t="s">
        <v>909</v>
      </c>
      <c r="E106" s="3">
        <v>15172.41</v>
      </c>
      <c r="F106" s="3">
        <v>0</v>
      </c>
      <c r="G106" s="3">
        <v>0</v>
      </c>
      <c r="H106" s="3">
        <v>0</v>
      </c>
      <c r="I106" s="3">
        <v>0</v>
      </c>
      <c r="J106" s="3">
        <v>5000</v>
      </c>
      <c r="K106" s="3">
        <v>5000</v>
      </c>
      <c r="L106" s="4">
        <v>1017.24</v>
      </c>
      <c r="M106" s="5">
        <v>46054</v>
      </c>
      <c r="N106" s="3">
        <f t="shared" si="1"/>
        <v>0</v>
      </c>
    </row>
    <row r="107" spans="1:19">
      <c r="A107" s="1">
        <v>12</v>
      </c>
      <c r="B107" s="2" t="s">
        <v>101</v>
      </c>
      <c r="C107" s="2" t="s">
        <v>142</v>
      </c>
      <c r="D107" s="2" t="s">
        <v>143</v>
      </c>
      <c r="E107" s="3">
        <v>30100</v>
      </c>
      <c r="F107" s="3">
        <v>2203.92</v>
      </c>
      <c r="G107" s="3">
        <v>600</v>
      </c>
      <c r="H107" s="3">
        <v>60</v>
      </c>
      <c r="I107" s="3">
        <v>1800</v>
      </c>
      <c r="J107" s="3">
        <v>5000</v>
      </c>
      <c r="K107" s="3">
        <v>9663.92</v>
      </c>
      <c r="L107" s="4">
        <v>2043.6</v>
      </c>
      <c r="M107" s="5">
        <v>46054</v>
      </c>
      <c r="N107" s="3">
        <f t="shared" si="1"/>
        <v>0</v>
      </c>
    </row>
    <row r="108" spans="1:19">
      <c r="A108" s="1">
        <v>13</v>
      </c>
      <c r="B108" s="2" t="s">
        <v>101</v>
      </c>
      <c r="C108" s="2" t="s">
        <v>910</v>
      </c>
      <c r="D108" s="2" t="s">
        <v>911</v>
      </c>
      <c r="E108" s="3">
        <v>16551.72</v>
      </c>
      <c r="F108" s="3">
        <v>0</v>
      </c>
      <c r="G108" s="3">
        <v>0</v>
      </c>
      <c r="H108" s="3">
        <v>0</v>
      </c>
      <c r="I108" s="3">
        <v>0</v>
      </c>
      <c r="J108" s="3">
        <v>5000</v>
      </c>
      <c r="K108" s="3">
        <v>5000</v>
      </c>
      <c r="L108" s="4">
        <v>1155.17</v>
      </c>
      <c r="M108" s="5">
        <v>46054</v>
      </c>
      <c r="N108" s="3">
        <f t="shared" si="1"/>
        <v>0</v>
      </c>
    </row>
    <row r="109" spans="1:19">
      <c r="A109" s="1">
        <v>14</v>
      </c>
      <c r="B109" s="2" t="s">
        <v>101</v>
      </c>
      <c r="C109" s="2" t="s">
        <v>146</v>
      </c>
      <c r="D109" s="2" t="s">
        <v>147</v>
      </c>
      <c r="E109" s="3">
        <v>20100</v>
      </c>
      <c r="F109" s="3">
        <v>1600</v>
      </c>
      <c r="G109" s="3">
        <v>400</v>
      </c>
      <c r="H109" s="3">
        <v>40</v>
      </c>
      <c r="I109" s="3">
        <v>1200</v>
      </c>
      <c r="J109" s="3">
        <v>5000</v>
      </c>
      <c r="K109" s="3">
        <v>8240</v>
      </c>
      <c r="L109" s="4">
        <v>355.8</v>
      </c>
      <c r="M109" s="5">
        <v>46054</v>
      </c>
      <c r="N109" s="3">
        <f t="shared" si="1"/>
        <v>0</v>
      </c>
    </row>
    <row r="110" spans="1:19">
      <c r="A110" s="1">
        <v>15</v>
      </c>
      <c r="B110" s="2" t="s">
        <v>101</v>
      </c>
      <c r="C110" s="2" t="s">
        <v>151</v>
      </c>
      <c r="D110" s="2" t="s">
        <v>152</v>
      </c>
      <c r="E110" s="3">
        <v>25100</v>
      </c>
      <c r="F110" s="3">
        <v>2000</v>
      </c>
      <c r="G110" s="3">
        <v>500</v>
      </c>
      <c r="H110" s="3">
        <v>50</v>
      </c>
      <c r="I110" s="3">
        <v>1500</v>
      </c>
      <c r="J110" s="3">
        <v>5000</v>
      </c>
      <c r="K110" s="3">
        <v>9050</v>
      </c>
      <c r="L110" s="4">
        <v>1318</v>
      </c>
      <c r="M110" s="5">
        <v>46054</v>
      </c>
      <c r="N110" s="3">
        <f t="shared" si="1"/>
        <v>0</v>
      </c>
    </row>
    <row r="111" spans="1:19">
      <c r="A111" s="1">
        <v>16</v>
      </c>
      <c r="B111" s="2" t="s">
        <v>101</v>
      </c>
      <c r="C111" s="2" t="s">
        <v>155</v>
      </c>
      <c r="D111" s="2" t="s">
        <v>156</v>
      </c>
      <c r="E111" s="3">
        <v>22782.76</v>
      </c>
      <c r="F111" s="3">
        <v>1840</v>
      </c>
      <c r="G111" s="3">
        <v>460</v>
      </c>
      <c r="H111" s="3">
        <v>46</v>
      </c>
      <c r="I111" s="3">
        <v>1380</v>
      </c>
      <c r="J111" s="3">
        <v>5000</v>
      </c>
      <c r="K111" s="3">
        <v>8726</v>
      </c>
      <c r="L111" s="4">
        <v>884.04</v>
      </c>
      <c r="M111" s="5">
        <v>46054</v>
      </c>
      <c r="N111" s="3">
        <f t="shared" si="1"/>
        <v>0</v>
      </c>
    </row>
    <row r="112" spans="1:19">
      <c r="A112" s="1">
        <v>17</v>
      </c>
      <c r="B112" s="2" t="s">
        <v>101</v>
      </c>
      <c r="C112" s="2" t="s">
        <v>160</v>
      </c>
      <c r="D112" s="2" t="s">
        <v>161</v>
      </c>
      <c r="E112" s="3">
        <v>20100</v>
      </c>
      <c r="F112" s="3">
        <v>1600</v>
      </c>
      <c r="G112" s="3">
        <v>400</v>
      </c>
      <c r="H112" s="3">
        <v>40</v>
      </c>
      <c r="I112" s="3">
        <v>1200</v>
      </c>
      <c r="J112" s="3">
        <v>5000</v>
      </c>
      <c r="K112" s="3">
        <v>8240</v>
      </c>
      <c r="L112" s="4">
        <v>205.8</v>
      </c>
      <c r="M112" s="5">
        <v>46054</v>
      </c>
      <c r="N112" s="3">
        <f t="shared" si="1"/>
        <v>0</v>
      </c>
    </row>
    <row r="113" spans="1:14">
      <c r="A113" s="1">
        <v>18</v>
      </c>
      <c r="B113" s="2" t="s">
        <v>101</v>
      </c>
      <c r="C113" s="2" t="s">
        <v>165</v>
      </c>
      <c r="D113" s="2" t="s">
        <v>166</v>
      </c>
      <c r="E113" s="3">
        <v>22100</v>
      </c>
      <c r="F113" s="3">
        <v>1760</v>
      </c>
      <c r="G113" s="3">
        <v>440</v>
      </c>
      <c r="H113" s="3">
        <v>44</v>
      </c>
      <c r="I113" s="3">
        <v>1320</v>
      </c>
      <c r="J113" s="3">
        <v>5000</v>
      </c>
      <c r="K113" s="3">
        <v>8564</v>
      </c>
      <c r="L113" s="4">
        <v>714.64</v>
      </c>
      <c r="M113" s="5">
        <v>46054</v>
      </c>
      <c r="N113" s="3">
        <f t="shared" si="1"/>
        <v>0</v>
      </c>
    </row>
    <row r="114" spans="1:14">
      <c r="A114" s="1">
        <v>19</v>
      </c>
      <c r="B114" s="2" t="s">
        <v>101</v>
      </c>
      <c r="C114" s="2" t="s">
        <v>170</v>
      </c>
      <c r="D114" s="2" t="s">
        <v>171</v>
      </c>
      <c r="E114" s="3">
        <v>15100</v>
      </c>
      <c r="F114" s="3">
        <v>1200</v>
      </c>
      <c r="G114" s="3">
        <v>300</v>
      </c>
      <c r="H114" s="3">
        <v>30</v>
      </c>
      <c r="I114" s="3">
        <v>900</v>
      </c>
      <c r="J114" s="3">
        <v>5000</v>
      </c>
      <c r="K114" s="3">
        <v>7430</v>
      </c>
      <c r="L114" s="4">
        <v>230.1</v>
      </c>
      <c r="M114" s="5">
        <v>46054</v>
      </c>
      <c r="N114" s="3">
        <f t="shared" si="1"/>
        <v>0</v>
      </c>
    </row>
    <row r="115" spans="1:14">
      <c r="A115" s="1">
        <v>20</v>
      </c>
      <c r="B115" s="2" t="s">
        <v>101</v>
      </c>
      <c r="C115" s="2" t="s">
        <v>175</v>
      </c>
      <c r="D115" s="2" t="s">
        <v>176</v>
      </c>
      <c r="E115" s="3">
        <v>25100</v>
      </c>
      <c r="F115" s="3">
        <v>2000</v>
      </c>
      <c r="G115" s="3">
        <v>500</v>
      </c>
      <c r="H115" s="3">
        <v>50</v>
      </c>
      <c r="I115" s="3">
        <v>1500</v>
      </c>
      <c r="J115" s="3">
        <v>5000</v>
      </c>
      <c r="K115" s="3">
        <v>9050</v>
      </c>
      <c r="L115" s="4">
        <v>1318</v>
      </c>
      <c r="M115" s="5">
        <v>46054</v>
      </c>
      <c r="N115" s="3">
        <f t="shared" si="1"/>
        <v>0</v>
      </c>
    </row>
    <row r="116" spans="1:14">
      <c r="A116" s="1">
        <v>21</v>
      </c>
      <c r="B116" s="2" t="s">
        <v>101</v>
      </c>
      <c r="C116" s="2" t="s">
        <v>180</v>
      </c>
      <c r="D116" s="2" t="s">
        <v>181</v>
      </c>
      <c r="E116" s="3">
        <v>13100</v>
      </c>
      <c r="F116" s="3">
        <v>1040</v>
      </c>
      <c r="G116" s="3">
        <v>260</v>
      </c>
      <c r="H116" s="3">
        <v>26</v>
      </c>
      <c r="I116" s="3">
        <v>780</v>
      </c>
      <c r="J116" s="3">
        <v>5000</v>
      </c>
      <c r="K116" s="3">
        <v>7106</v>
      </c>
      <c r="L116" s="4">
        <v>134.82</v>
      </c>
      <c r="M116" s="5">
        <v>46054</v>
      </c>
      <c r="N116" s="3">
        <f t="shared" si="1"/>
        <v>0</v>
      </c>
    </row>
    <row r="117" spans="1:14">
      <c r="A117" s="1">
        <v>22</v>
      </c>
      <c r="B117" s="2" t="s">
        <v>101</v>
      </c>
      <c r="C117" s="2" t="s">
        <v>185</v>
      </c>
      <c r="D117" s="2" t="s">
        <v>186</v>
      </c>
      <c r="E117" s="3">
        <v>50100</v>
      </c>
      <c r="F117" s="3">
        <v>2203.92</v>
      </c>
      <c r="G117" s="3">
        <v>672.66</v>
      </c>
      <c r="H117" s="3">
        <v>88.53</v>
      </c>
      <c r="I117" s="3">
        <v>2655.9</v>
      </c>
      <c r="J117" s="3">
        <v>5000</v>
      </c>
      <c r="K117" s="3">
        <v>10621.01</v>
      </c>
      <c r="L117" s="4">
        <v>3297.9</v>
      </c>
      <c r="M117" s="5">
        <v>46054</v>
      </c>
      <c r="N117" s="3">
        <f t="shared" si="1"/>
        <v>0</v>
      </c>
    </row>
    <row r="118" spans="1:14">
      <c r="A118" s="1">
        <v>23</v>
      </c>
      <c r="B118" s="2" t="s">
        <v>101</v>
      </c>
      <c r="C118" s="2" t="s">
        <v>912</v>
      </c>
      <c r="D118" s="2" t="s">
        <v>913</v>
      </c>
      <c r="E118" s="3">
        <v>16735.63</v>
      </c>
      <c r="F118" s="3">
        <v>1280</v>
      </c>
      <c r="G118" s="3">
        <v>320</v>
      </c>
      <c r="H118" s="3">
        <v>32</v>
      </c>
      <c r="I118" s="3">
        <v>960</v>
      </c>
      <c r="J118" s="3">
        <v>5000</v>
      </c>
      <c r="K118" s="3">
        <v>7592</v>
      </c>
      <c r="L118" s="4">
        <v>274.31</v>
      </c>
      <c r="M118" s="5">
        <v>46054</v>
      </c>
      <c r="N118" s="3">
        <f t="shared" si="1"/>
        <v>0</v>
      </c>
    </row>
    <row r="119" spans="1:14">
      <c r="A119" s="1">
        <v>24</v>
      </c>
      <c r="B119" s="2" t="s">
        <v>101</v>
      </c>
      <c r="C119" s="2" t="s">
        <v>190</v>
      </c>
      <c r="D119" s="2" t="s">
        <v>191</v>
      </c>
      <c r="E119" s="3">
        <v>14100</v>
      </c>
      <c r="F119" s="3">
        <v>1120</v>
      </c>
      <c r="G119" s="3">
        <v>280</v>
      </c>
      <c r="H119" s="3">
        <v>28</v>
      </c>
      <c r="I119" s="3">
        <v>840</v>
      </c>
      <c r="J119" s="3">
        <v>5000</v>
      </c>
      <c r="K119" s="3">
        <v>7268</v>
      </c>
      <c r="L119" s="4">
        <v>204.96</v>
      </c>
      <c r="M119" s="5">
        <v>46054</v>
      </c>
      <c r="N119" s="3">
        <f t="shared" si="1"/>
        <v>0</v>
      </c>
    </row>
    <row r="120" spans="1:14">
      <c r="A120" s="1">
        <v>25</v>
      </c>
      <c r="B120" s="2" t="s">
        <v>101</v>
      </c>
      <c r="C120" s="2" t="s">
        <v>195</v>
      </c>
      <c r="D120" s="2" t="s">
        <v>196</v>
      </c>
      <c r="E120" s="3">
        <v>18100</v>
      </c>
      <c r="F120" s="3">
        <v>1440</v>
      </c>
      <c r="G120" s="3">
        <v>360</v>
      </c>
      <c r="H120" s="3">
        <v>36</v>
      </c>
      <c r="I120" s="3">
        <v>1080</v>
      </c>
      <c r="J120" s="3">
        <v>5000</v>
      </c>
      <c r="K120" s="3">
        <v>7916</v>
      </c>
      <c r="L120" s="4">
        <v>305.52</v>
      </c>
      <c r="M120" s="5">
        <v>46054</v>
      </c>
      <c r="N120" s="3">
        <f t="shared" si="1"/>
        <v>0</v>
      </c>
    </row>
    <row r="121" spans="1:14">
      <c r="A121" s="1">
        <v>26</v>
      </c>
      <c r="B121" s="2" t="s">
        <v>101</v>
      </c>
      <c r="C121" s="2" t="s">
        <v>200</v>
      </c>
      <c r="D121" s="2" t="s">
        <v>201</v>
      </c>
      <c r="E121" s="3">
        <v>14100</v>
      </c>
      <c r="F121" s="3">
        <v>1120</v>
      </c>
      <c r="G121" s="3">
        <v>280</v>
      </c>
      <c r="H121" s="3">
        <v>28</v>
      </c>
      <c r="I121" s="3">
        <v>840</v>
      </c>
      <c r="J121" s="3">
        <v>5000</v>
      </c>
      <c r="K121" s="3">
        <v>7268</v>
      </c>
      <c r="L121" s="4">
        <v>249.96</v>
      </c>
      <c r="M121" s="5">
        <v>46054</v>
      </c>
      <c r="N121" s="3">
        <f t="shared" si="1"/>
        <v>0</v>
      </c>
    </row>
    <row r="122" spans="1:14">
      <c r="A122" s="1">
        <v>27</v>
      </c>
      <c r="B122" s="2" t="s">
        <v>101</v>
      </c>
      <c r="C122" s="2" t="s">
        <v>204</v>
      </c>
      <c r="D122" s="2" t="s">
        <v>205</v>
      </c>
      <c r="E122" s="3">
        <v>33100</v>
      </c>
      <c r="F122" s="3">
        <v>2203.92</v>
      </c>
      <c r="G122" s="3">
        <v>660</v>
      </c>
      <c r="H122" s="3">
        <v>66</v>
      </c>
      <c r="I122" s="3">
        <v>1980</v>
      </c>
      <c r="J122" s="3">
        <v>5000</v>
      </c>
      <c r="K122" s="3">
        <v>9909.92</v>
      </c>
      <c r="L122" s="4">
        <v>2319</v>
      </c>
      <c r="M122" s="5">
        <v>46054</v>
      </c>
      <c r="N122" s="3">
        <f t="shared" si="1"/>
        <v>0</v>
      </c>
    </row>
    <row r="123" spans="1:14">
      <c r="A123" s="1">
        <v>28</v>
      </c>
      <c r="B123" s="2" t="s">
        <v>101</v>
      </c>
      <c r="C123" s="2" t="s">
        <v>209</v>
      </c>
      <c r="D123" s="2" t="s">
        <v>210</v>
      </c>
      <c r="E123" s="3">
        <v>19100</v>
      </c>
      <c r="F123" s="3">
        <v>1520</v>
      </c>
      <c r="G123" s="3">
        <v>380</v>
      </c>
      <c r="H123" s="3">
        <v>38</v>
      </c>
      <c r="I123" s="3">
        <v>1140</v>
      </c>
      <c r="J123" s="3">
        <v>5000</v>
      </c>
      <c r="K123" s="3">
        <v>8078</v>
      </c>
      <c r="L123" s="4">
        <v>330.66</v>
      </c>
      <c r="M123" s="5">
        <v>46054</v>
      </c>
      <c r="N123" s="3">
        <f t="shared" si="1"/>
        <v>0</v>
      </c>
    </row>
    <row r="124" spans="1:14">
      <c r="A124" s="1">
        <v>29</v>
      </c>
      <c r="B124" s="2" t="s">
        <v>101</v>
      </c>
      <c r="C124" s="2" t="s">
        <v>214</v>
      </c>
      <c r="D124" s="2" t="s">
        <v>215</v>
      </c>
      <c r="E124" s="3">
        <v>20100</v>
      </c>
      <c r="F124" s="3">
        <v>1600</v>
      </c>
      <c r="G124" s="3">
        <v>400</v>
      </c>
      <c r="H124" s="3">
        <v>40</v>
      </c>
      <c r="I124" s="3">
        <v>1200</v>
      </c>
      <c r="J124" s="3">
        <v>5000</v>
      </c>
      <c r="K124" s="3">
        <v>8240</v>
      </c>
      <c r="L124" s="4">
        <v>355.8</v>
      </c>
      <c r="M124" s="5">
        <v>46054</v>
      </c>
      <c r="N124" s="3">
        <f t="shared" si="1"/>
        <v>0</v>
      </c>
    </row>
    <row r="125" spans="1:14">
      <c r="A125" s="1">
        <v>30</v>
      </c>
      <c r="B125" s="2" t="s">
        <v>101</v>
      </c>
      <c r="C125" s="2" t="s">
        <v>218</v>
      </c>
      <c r="D125" s="2" t="s">
        <v>219</v>
      </c>
      <c r="E125" s="3">
        <v>30100</v>
      </c>
      <c r="F125" s="3">
        <v>2203.92</v>
      </c>
      <c r="G125" s="3">
        <v>600</v>
      </c>
      <c r="H125" s="3">
        <v>60</v>
      </c>
      <c r="I125" s="3">
        <v>1800</v>
      </c>
      <c r="J125" s="3">
        <v>5000</v>
      </c>
      <c r="K125" s="3">
        <v>9663.92</v>
      </c>
      <c r="L125" s="4">
        <v>2043.6</v>
      </c>
      <c r="M125" s="5">
        <v>46054</v>
      </c>
      <c r="N125" s="3">
        <f t="shared" si="1"/>
        <v>0</v>
      </c>
    </row>
    <row r="126" spans="1:14">
      <c r="A126" s="1">
        <v>31</v>
      </c>
      <c r="B126" s="2" t="s">
        <v>101</v>
      </c>
      <c r="C126" s="2" t="s">
        <v>223</v>
      </c>
      <c r="D126" s="2" t="s">
        <v>224</v>
      </c>
      <c r="E126" s="3">
        <v>20100</v>
      </c>
      <c r="F126" s="3">
        <v>1600</v>
      </c>
      <c r="G126" s="3">
        <v>400</v>
      </c>
      <c r="H126" s="3">
        <v>40</v>
      </c>
      <c r="I126" s="3">
        <v>1200</v>
      </c>
      <c r="J126" s="3">
        <v>5000</v>
      </c>
      <c r="K126" s="3">
        <v>8240</v>
      </c>
      <c r="L126" s="4">
        <v>325.8</v>
      </c>
      <c r="M126" s="5">
        <v>46054</v>
      </c>
      <c r="N126" s="3">
        <f t="shared" si="1"/>
        <v>0</v>
      </c>
    </row>
    <row r="127" spans="1:14">
      <c r="A127" s="1">
        <v>32</v>
      </c>
      <c r="B127" s="2" t="s">
        <v>101</v>
      </c>
      <c r="C127" s="2" t="s">
        <v>228</v>
      </c>
      <c r="D127" s="2" t="s">
        <v>229</v>
      </c>
      <c r="E127" s="3">
        <v>25100</v>
      </c>
      <c r="F127" s="3">
        <v>2000</v>
      </c>
      <c r="G127" s="3">
        <v>500</v>
      </c>
      <c r="H127" s="3">
        <v>50</v>
      </c>
      <c r="I127" s="3">
        <v>1500</v>
      </c>
      <c r="J127" s="3">
        <v>5000</v>
      </c>
      <c r="K127" s="3">
        <v>9050</v>
      </c>
      <c r="L127" s="4">
        <v>1318</v>
      </c>
      <c r="M127" s="5">
        <v>46054</v>
      </c>
      <c r="N127" s="3">
        <f t="shared" si="1"/>
        <v>0</v>
      </c>
    </row>
    <row r="128" spans="1:14">
      <c r="A128" s="1">
        <v>33</v>
      </c>
      <c r="B128" s="2" t="s">
        <v>101</v>
      </c>
      <c r="C128" s="2" t="s">
        <v>233</v>
      </c>
      <c r="D128" s="2" t="s">
        <v>234</v>
      </c>
      <c r="E128" s="3">
        <v>36100</v>
      </c>
      <c r="F128" s="3">
        <v>2203.92</v>
      </c>
      <c r="G128" s="3">
        <v>672.66</v>
      </c>
      <c r="H128" s="3">
        <v>72</v>
      </c>
      <c r="I128" s="3">
        <v>2160</v>
      </c>
      <c r="J128" s="3">
        <v>5000</v>
      </c>
      <c r="K128" s="3">
        <v>10108.58</v>
      </c>
      <c r="L128" s="4">
        <v>2599.14</v>
      </c>
      <c r="M128" s="5">
        <v>46054</v>
      </c>
      <c r="N128" s="3">
        <f t="shared" si="1"/>
        <v>0</v>
      </c>
    </row>
    <row r="129" spans="1:14">
      <c r="A129" s="1">
        <v>34</v>
      </c>
      <c r="B129" s="2" t="s">
        <v>101</v>
      </c>
      <c r="C129" s="2" t="s">
        <v>238</v>
      </c>
      <c r="D129" s="2" t="s">
        <v>239</v>
      </c>
      <c r="E129" s="3">
        <v>20100</v>
      </c>
      <c r="F129" s="3">
        <v>1600</v>
      </c>
      <c r="G129" s="3">
        <v>400</v>
      </c>
      <c r="H129" s="3">
        <v>40</v>
      </c>
      <c r="I129" s="3">
        <v>1200</v>
      </c>
      <c r="J129" s="3">
        <v>5000</v>
      </c>
      <c r="K129" s="3">
        <v>8240</v>
      </c>
      <c r="L129" s="4">
        <v>355.8</v>
      </c>
      <c r="M129" s="5">
        <v>46054</v>
      </c>
      <c r="N129" s="3">
        <f t="shared" si="1"/>
        <v>0</v>
      </c>
    </row>
    <row r="130" spans="1:14">
      <c r="A130" s="1">
        <v>35</v>
      </c>
      <c r="B130" s="2" t="s">
        <v>101</v>
      </c>
      <c r="C130" s="2" t="s">
        <v>242</v>
      </c>
      <c r="D130" s="2" t="s">
        <v>243</v>
      </c>
      <c r="E130" s="3">
        <v>23100</v>
      </c>
      <c r="F130" s="3">
        <v>1840</v>
      </c>
      <c r="G130" s="3">
        <v>460</v>
      </c>
      <c r="H130" s="3">
        <v>46</v>
      </c>
      <c r="I130" s="3">
        <v>1380</v>
      </c>
      <c r="J130" s="3">
        <v>5000</v>
      </c>
      <c r="K130" s="3">
        <v>8726</v>
      </c>
      <c r="L130" s="4">
        <v>915.76</v>
      </c>
      <c r="M130" s="5">
        <v>46054</v>
      </c>
      <c r="N130" s="3">
        <f t="shared" ref="N130:N193" si="2">K130-F130-G130-H130-I130-J130</f>
        <v>0</v>
      </c>
    </row>
    <row r="131" spans="1:14">
      <c r="A131" s="1">
        <v>36</v>
      </c>
      <c r="B131" s="2" t="s">
        <v>101</v>
      </c>
      <c r="C131" s="2" t="s">
        <v>247</v>
      </c>
      <c r="D131" s="2" t="s">
        <v>248</v>
      </c>
      <c r="E131" s="3">
        <v>8100</v>
      </c>
      <c r="F131" s="3">
        <v>640</v>
      </c>
      <c r="G131" s="3">
        <v>160</v>
      </c>
      <c r="H131" s="3">
        <v>16</v>
      </c>
      <c r="I131" s="3">
        <v>480</v>
      </c>
      <c r="J131" s="3">
        <v>5000</v>
      </c>
      <c r="K131" s="3">
        <v>6296</v>
      </c>
      <c r="L131" s="4">
        <v>15.24</v>
      </c>
      <c r="M131" s="5">
        <v>46054</v>
      </c>
      <c r="N131" s="3">
        <f t="shared" si="2"/>
        <v>0</v>
      </c>
    </row>
    <row r="132" spans="1:14">
      <c r="A132" s="1">
        <v>37</v>
      </c>
      <c r="B132" s="2" t="s">
        <v>101</v>
      </c>
      <c r="C132" s="2" t="s">
        <v>252</v>
      </c>
      <c r="D132" s="2" t="s">
        <v>253</v>
      </c>
      <c r="E132" s="3">
        <v>19100</v>
      </c>
      <c r="F132" s="3">
        <v>1520</v>
      </c>
      <c r="G132" s="3">
        <v>380</v>
      </c>
      <c r="H132" s="3">
        <v>38</v>
      </c>
      <c r="I132" s="3">
        <v>1140</v>
      </c>
      <c r="J132" s="3">
        <v>5000</v>
      </c>
      <c r="K132" s="3">
        <v>8078</v>
      </c>
      <c r="L132" s="4">
        <v>330.66</v>
      </c>
      <c r="M132" s="5">
        <v>46054</v>
      </c>
      <c r="N132" s="3">
        <f t="shared" si="2"/>
        <v>0</v>
      </c>
    </row>
    <row r="133" spans="1:14">
      <c r="A133" s="1">
        <v>38</v>
      </c>
      <c r="B133" s="2" t="s">
        <v>101</v>
      </c>
      <c r="C133" s="2" t="s">
        <v>257</v>
      </c>
      <c r="D133" s="2" t="s">
        <v>258</v>
      </c>
      <c r="E133" s="3">
        <v>30100</v>
      </c>
      <c r="F133" s="3">
        <v>2203.92</v>
      </c>
      <c r="G133" s="3">
        <v>600</v>
      </c>
      <c r="H133" s="3">
        <v>60</v>
      </c>
      <c r="I133" s="3">
        <v>1800</v>
      </c>
      <c r="J133" s="3">
        <v>5000</v>
      </c>
      <c r="K133" s="3">
        <v>9663.92</v>
      </c>
      <c r="L133" s="4">
        <v>2043.6</v>
      </c>
      <c r="M133" s="5">
        <v>46054</v>
      </c>
      <c r="N133" s="3">
        <f t="shared" si="2"/>
        <v>0</v>
      </c>
    </row>
    <row r="134" spans="1:14">
      <c r="A134" s="1">
        <v>39</v>
      </c>
      <c r="B134" s="2" t="s">
        <v>101</v>
      </c>
      <c r="C134" s="2" t="s">
        <v>262</v>
      </c>
      <c r="D134" s="2" t="s">
        <v>263</v>
      </c>
      <c r="E134" s="3">
        <v>45100</v>
      </c>
      <c r="F134" s="3">
        <v>2203.92</v>
      </c>
      <c r="G134" s="3">
        <v>672.66</v>
      </c>
      <c r="H134" s="3">
        <v>88.53</v>
      </c>
      <c r="I134" s="3">
        <v>2655.9</v>
      </c>
      <c r="J134" s="3">
        <v>5000</v>
      </c>
      <c r="K134" s="3">
        <v>10621.01</v>
      </c>
      <c r="L134" s="4">
        <v>3447.9</v>
      </c>
      <c r="M134" s="5">
        <v>46054</v>
      </c>
      <c r="N134" s="3">
        <f t="shared" si="2"/>
        <v>0</v>
      </c>
    </row>
    <row r="135" spans="1:14">
      <c r="A135" s="1">
        <v>40</v>
      </c>
      <c r="B135" s="2" t="s">
        <v>101</v>
      </c>
      <c r="C135" s="2" t="s">
        <v>267</v>
      </c>
      <c r="D135" s="2" t="s">
        <v>268</v>
      </c>
      <c r="E135" s="3">
        <v>18203.45</v>
      </c>
      <c r="F135" s="3">
        <v>1680</v>
      </c>
      <c r="G135" s="3">
        <v>420</v>
      </c>
      <c r="H135" s="3">
        <v>42</v>
      </c>
      <c r="I135" s="3">
        <v>1260</v>
      </c>
      <c r="J135" s="3">
        <v>5000</v>
      </c>
      <c r="K135" s="3">
        <v>8402</v>
      </c>
      <c r="L135" s="4">
        <v>294.05</v>
      </c>
      <c r="M135" s="5">
        <v>46054</v>
      </c>
      <c r="N135" s="3">
        <f t="shared" si="2"/>
        <v>0</v>
      </c>
    </row>
    <row r="136" spans="1:14">
      <c r="A136" s="1">
        <v>41</v>
      </c>
      <c r="B136" s="2" t="s">
        <v>101</v>
      </c>
      <c r="C136" s="2" t="s">
        <v>918</v>
      </c>
      <c r="D136" s="2" t="s">
        <v>919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5000</v>
      </c>
      <c r="K136" s="3">
        <v>5000</v>
      </c>
      <c r="L136" s="4">
        <v>0</v>
      </c>
      <c r="M136" s="5">
        <v>46054</v>
      </c>
      <c r="N136" s="3">
        <f t="shared" si="2"/>
        <v>0</v>
      </c>
    </row>
    <row r="137" spans="1:14">
      <c r="A137" s="1">
        <v>42</v>
      </c>
      <c r="B137" s="2" t="s">
        <v>101</v>
      </c>
      <c r="C137" s="2" t="s">
        <v>272</v>
      </c>
      <c r="D137" s="2" t="s">
        <v>273</v>
      </c>
      <c r="E137" s="3">
        <v>35100</v>
      </c>
      <c r="F137" s="3">
        <v>2203.92</v>
      </c>
      <c r="G137" s="3">
        <v>672.66</v>
      </c>
      <c r="H137" s="3">
        <v>70</v>
      </c>
      <c r="I137" s="3">
        <v>2100</v>
      </c>
      <c r="J137" s="3">
        <v>5000</v>
      </c>
      <c r="K137" s="3">
        <v>10046.58</v>
      </c>
      <c r="L137" s="4">
        <v>2505.34</v>
      </c>
      <c r="M137" s="5">
        <v>46054</v>
      </c>
      <c r="N137" s="3">
        <f t="shared" si="2"/>
        <v>0</v>
      </c>
    </row>
    <row r="138" spans="1:14">
      <c r="A138" s="1">
        <v>43</v>
      </c>
      <c r="B138" s="2" t="s">
        <v>101</v>
      </c>
      <c r="C138" s="2" t="s">
        <v>277</v>
      </c>
      <c r="D138" s="2" t="s">
        <v>278</v>
      </c>
      <c r="E138" s="3">
        <v>26600</v>
      </c>
      <c r="F138" s="3">
        <v>2120</v>
      </c>
      <c r="G138" s="3">
        <v>530</v>
      </c>
      <c r="H138" s="3">
        <v>53</v>
      </c>
      <c r="I138" s="3">
        <v>1590</v>
      </c>
      <c r="J138" s="3">
        <v>5000</v>
      </c>
      <c r="K138" s="3">
        <v>9293</v>
      </c>
      <c r="L138" s="4">
        <v>1022.67</v>
      </c>
      <c r="M138" s="5">
        <v>46054</v>
      </c>
      <c r="N138" s="3">
        <f t="shared" si="2"/>
        <v>0</v>
      </c>
    </row>
    <row r="139" spans="1:14">
      <c r="A139" s="1">
        <v>44</v>
      </c>
      <c r="B139" s="2" t="s">
        <v>101</v>
      </c>
      <c r="C139" s="2" t="s">
        <v>282</v>
      </c>
      <c r="D139" s="2" t="s">
        <v>283</v>
      </c>
      <c r="E139" s="3">
        <v>16100</v>
      </c>
      <c r="F139" s="3">
        <v>1280</v>
      </c>
      <c r="G139" s="3">
        <v>320</v>
      </c>
      <c r="H139" s="3">
        <v>32</v>
      </c>
      <c r="I139" s="3">
        <v>960</v>
      </c>
      <c r="J139" s="3">
        <v>5000</v>
      </c>
      <c r="K139" s="3">
        <v>7592</v>
      </c>
      <c r="L139" s="4">
        <v>255.24</v>
      </c>
      <c r="M139" s="5">
        <v>46054</v>
      </c>
      <c r="N139" s="3">
        <f t="shared" si="2"/>
        <v>0</v>
      </c>
    </row>
    <row r="140" spans="1:14">
      <c r="A140" s="1">
        <v>45</v>
      </c>
      <c r="B140" s="2" t="s">
        <v>101</v>
      </c>
      <c r="C140" s="2" t="s">
        <v>920</v>
      </c>
      <c r="D140" s="2" t="s">
        <v>921</v>
      </c>
      <c r="E140" s="3">
        <v>14100</v>
      </c>
      <c r="F140" s="3">
        <v>1120</v>
      </c>
      <c r="G140" s="3">
        <v>280</v>
      </c>
      <c r="H140" s="3">
        <v>28</v>
      </c>
      <c r="I140" s="3">
        <v>840</v>
      </c>
      <c r="J140" s="3">
        <v>5000</v>
      </c>
      <c r="K140" s="3">
        <v>7268</v>
      </c>
      <c r="L140" s="4">
        <v>204.96</v>
      </c>
      <c r="M140" s="5">
        <v>46054</v>
      </c>
      <c r="N140" s="3">
        <f t="shared" si="2"/>
        <v>0</v>
      </c>
    </row>
    <row r="141" spans="1:14">
      <c r="A141" s="1">
        <v>46</v>
      </c>
      <c r="B141" s="2" t="s">
        <v>101</v>
      </c>
      <c r="C141" s="2" t="s">
        <v>287</v>
      </c>
      <c r="D141" s="2" t="s">
        <v>288</v>
      </c>
      <c r="E141" s="3">
        <v>13100</v>
      </c>
      <c r="F141" s="3">
        <v>1040</v>
      </c>
      <c r="G141" s="3">
        <v>260</v>
      </c>
      <c r="H141" s="3">
        <v>26</v>
      </c>
      <c r="I141" s="3">
        <v>780</v>
      </c>
      <c r="J141" s="3">
        <v>5000</v>
      </c>
      <c r="K141" s="3">
        <v>7106</v>
      </c>
      <c r="L141" s="4">
        <v>179.82</v>
      </c>
      <c r="M141" s="5">
        <v>46054</v>
      </c>
      <c r="N141" s="3">
        <f t="shared" si="2"/>
        <v>0</v>
      </c>
    </row>
    <row r="142" spans="1:14">
      <c r="A142" s="1">
        <v>47</v>
      </c>
      <c r="B142" s="2" t="s">
        <v>101</v>
      </c>
      <c r="C142" s="2" t="s">
        <v>292</v>
      </c>
      <c r="D142" s="2" t="s">
        <v>293</v>
      </c>
      <c r="E142" s="3">
        <v>8100</v>
      </c>
      <c r="F142" s="3">
        <v>640</v>
      </c>
      <c r="G142" s="3">
        <v>160</v>
      </c>
      <c r="H142" s="3">
        <v>16</v>
      </c>
      <c r="I142" s="3">
        <v>480</v>
      </c>
      <c r="J142" s="3">
        <v>5000</v>
      </c>
      <c r="K142" s="3">
        <v>6296</v>
      </c>
      <c r="L142" s="4">
        <v>0</v>
      </c>
      <c r="M142" s="5">
        <v>46054</v>
      </c>
      <c r="N142" s="3">
        <f t="shared" si="2"/>
        <v>0</v>
      </c>
    </row>
    <row r="143" spans="1:14">
      <c r="A143" s="1">
        <v>48</v>
      </c>
      <c r="B143" s="2" t="s">
        <v>101</v>
      </c>
      <c r="C143" s="2" t="s">
        <v>296</v>
      </c>
      <c r="D143" s="2" t="s">
        <v>297</v>
      </c>
      <c r="E143" s="3">
        <v>14100</v>
      </c>
      <c r="F143" s="3">
        <v>1120</v>
      </c>
      <c r="G143" s="3">
        <v>280</v>
      </c>
      <c r="H143" s="3">
        <v>28</v>
      </c>
      <c r="I143" s="3">
        <v>840</v>
      </c>
      <c r="J143" s="3">
        <v>5000</v>
      </c>
      <c r="K143" s="3">
        <v>7268</v>
      </c>
      <c r="L143" s="4">
        <v>151.51</v>
      </c>
      <c r="M143" s="5">
        <v>46054</v>
      </c>
      <c r="N143" s="3">
        <f t="shared" si="2"/>
        <v>0</v>
      </c>
    </row>
    <row r="144" spans="1:14">
      <c r="A144" s="1">
        <v>49</v>
      </c>
      <c r="B144" s="2" t="s">
        <v>101</v>
      </c>
      <c r="C144" s="2" t="s">
        <v>301</v>
      </c>
      <c r="D144" s="2" t="s">
        <v>302</v>
      </c>
      <c r="E144" s="3">
        <v>14410.34</v>
      </c>
      <c r="F144" s="3">
        <v>1200</v>
      </c>
      <c r="G144" s="3">
        <v>300</v>
      </c>
      <c r="H144" s="3">
        <v>30</v>
      </c>
      <c r="I144" s="3">
        <v>900</v>
      </c>
      <c r="J144" s="3">
        <v>5000</v>
      </c>
      <c r="K144" s="3">
        <v>7430</v>
      </c>
      <c r="L144" s="4">
        <v>209.41</v>
      </c>
      <c r="M144" s="5">
        <v>46054</v>
      </c>
      <c r="N144" s="3">
        <f t="shared" si="2"/>
        <v>0</v>
      </c>
    </row>
    <row r="145" spans="1:19">
      <c r="A145" s="1">
        <v>50</v>
      </c>
      <c r="B145" s="2" t="s">
        <v>101</v>
      </c>
      <c r="C145" s="2" t="s">
        <v>922</v>
      </c>
      <c r="D145" s="2" t="s">
        <v>923</v>
      </c>
      <c r="E145" s="3">
        <v>2942.53</v>
      </c>
      <c r="F145" s="3">
        <v>0</v>
      </c>
      <c r="G145" s="3">
        <v>0</v>
      </c>
      <c r="H145" s="3">
        <v>0</v>
      </c>
      <c r="I145" s="3">
        <v>0</v>
      </c>
      <c r="J145" s="3">
        <v>5000</v>
      </c>
      <c r="K145" s="3">
        <v>5000</v>
      </c>
      <c r="L145" s="4">
        <v>0</v>
      </c>
      <c r="M145" s="5">
        <v>46054</v>
      </c>
      <c r="N145" s="3">
        <f t="shared" si="2"/>
        <v>0</v>
      </c>
    </row>
    <row r="146" spans="1:19">
      <c r="A146" s="1">
        <v>51</v>
      </c>
      <c r="B146" s="2" t="s">
        <v>101</v>
      </c>
      <c r="C146" s="2" t="s">
        <v>306</v>
      </c>
      <c r="D146" s="2" t="s">
        <v>307</v>
      </c>
      <c r="E146" s="3">
        <v>2413.79</v>
      </c>
      <c r="F146" s="3">
        <v>0</v>
      </c>
      <c r="G146" s="3">
        <v>0</v>
      </c>
      <c r="H146" s="3">
        <v>0</v>
      </c>
      <c r="I146" s="3">
        <v>0</v>
      </c>
      <c r="J146" s="3">
        <v>5000</v>
      </c>
      <c r="K146" s="3">
        <v>5000</v>
      </c>
      <c r="L146" s="4">
        <v>0</v>
      </c>
      <c r="M146" s="5">
        <v>46054</v>
      </c>
      <c r="N146" s="3">
        <f t="shared" si="2"/>
        <v>0</v>
      </c>
    </row>
    <row r="147" spans="1:19">
      <c r="A147" s="1">
        <v>1</v>
      </c>
      <c r="B147" s="2" t="s">
        <v>101</v>
      </c>
      <c r="C147" s="2" t="s">
        <v>102</v>
      </c>
      <c r="D147" s="2" t="s">
        <v>103</v>
      </c>
      <c r="E147" s="3">
        <v>50000</v>
      </c>
      <c r="F147" s="3">
        <v>2203.92</v>
      </c>
      <c r="G147" s="3">
        <v>672.66</v>
      </c>
      <c r="H147" s="3">
        <v>88.53</v>
      </c>
      <c r="I147" s="3">
        <v>2655.9</v>
      </c>
      <c r="J147" s="17">
        <v>5000</v>
      </c>
      <c r="K147" s="17">
        <v>10621.01</v>
      </c>
      <c r="L147" s="4">
        <v>5299.43</v>
      </c>
      <c r="M147" s="5">
        <v>46082</v>
      </c>
      <c r="N147" s="3">
        <f t="shared" si="2"/>
        <v>0</v>
      </c>
      <c r="Q147" s="7" t="s">
        <v>20</v>
      </c>
      <c r="R147" s="7" t="s">
        <v>90</v>
      </c>
      <c r="S147" s="7" t="s">
        <v>901</v>
      </c>
    </row>
    <row r="148" spans="1:19">
      <c r="A148" s="1">
        <v>2</v>
      </c>
      <c r="B148" s="2" t="s">
        <v>101</v>
      </c>
      <c r="C148" s="2" t="s">
        <v>108</v>
      </c>
      <c r="D148" s="2" t="s">
        <v>109</v>
      </c>
      <c r="E148" s="3">
        <v>14000</v>
      </c>
      <c r="F148" s="3">
        <v>1120</v>
      </c>
      <c r="G148" s="3">
        <v>280</v>
      </c>
      <c r="H148" s="3">
        <v>28</v>
      </c>
      <c r="I148" s="3">
        <v>840</v>
      </c>
      <c r="J148" s="17">
        <v>5000</v>
      </c>
      <c r="K148" s="17">
        <v>7268</v>
      </c>
      <c r="L148" s="4">
        <v>156.96</v>
      </c>
      <c r="M148" s="5">
        <v>46082</v>
      </c>
      <c r="N148" s="3">
        <f t="shared" si="2"/>
        <v>0</v>
      </c>
      <c r="Q148" s="7">
        <f>SUM(E147:E198)</f>
        <v>1205473.45</v>
      </c>
      <c r="R148" s="7">
        <f>SUM(K147:K198)</f>
        <v>429666.9</v>
      </c>
      <c r="S148" s="7">
        <f>SUM(L147:L198)</f>
        <v>70205.8100000001</v>
      </c>
    </row>
    <row r="149" spans="1:19">
      <c r="A149" s="1">
        <v>3</v>
      </c>
      <c r="B149" s="2" t="s">
        <v>101</v>
      </c>
      <c r="C149" s="2" t="s">
        <v>113</v>
      </c>
      <c r="D149" s="2" t="s">
        <v>114</v>
      </c>
      <c r="E149" s="3">
        <v>50000</v>
      </c>
      <c r="F149" s="3">
        <v>2203.92</v>
      </c>
      <c r="G149" s="3">
        <v>672.66</v>
      </c>
      <c r="H149" s="3">
        <v>88.53</v>
      </c>
      <c r="I149" s="3">
        <v>2655.9</v>
      </c>
      <c r="J149" s="17">
        <v>5000</v>
      </c>
      <c r="K149" s="17">
        <v>10621.01</v>
      </c>
      <c r="L149" s="4">
        <v>5184.48</v>
      </c>
      <c r="M149" s="5">
        <v>46082</v>
      </c>
      <c r="N149" s="3">
        <f t="shared" si="2"/>
        <v>0</v>
      </c>
    </row>
    <row r="150" spans="1:19">
      <c r="A150" s="1">
        <v>4</v>
      </c>
      <c r="B150" s="2" t="s">
        <v>101</v>
      </c>
      <c r="C150" s="2" t="s">
        <v>118</v>
      </c>
      <c r="D150" s="2" t="s">
        <v>119</v>
      </c>
      <c r="E150" s="3">
        <v>48000</v>
      </c>
      <c r="F150" s="3">
        <v>2203.92</v>
      </c>
      <c r="G150" s="3">
        <v>672.66</v>
      </c>
      <c r="H150" s="3">
        <v>88.53</v>
      </c>
      <c r="I150" s="3">
        <v>2655.9</v>
      </c>
      <c r="J150" s="17">
        <v>5000</v>
      </c>
      <c r="K150" s="17">
        <v>10621.01</v>
      </c>
      <c r="L150" s="4">
        <v>4299.43</v>
      </c>
      <c r="M150" s="5">
        <v>46082</v>
      </c>
      <c r="N150" s="3">
        <f t="shared" si="2"/>
        <v>0</v>
      </c>
      <c r="Q150" s="7">
        <v>1205473.45</v>
      </c>
      <c r="R150" s="7">
        <v>429666.9</v>
      </c>
      <c r="S150" s="7">
        <v>70205.8100000001</v>
      </c>
    </row>
    <row r="151" spans="1:19">
      <c r="A151" s="1">
        <v>5</v>
      </c>
      <c r="B151" s="2" t="s">
        <v>101</v>
      </c>
      <c r="C151" s="2" t="s">
        <v>123</v>
      </c>
      <c r="D151" s="2" t="s">
        <v>124</v>
      </c>
      <c r="E151" s="3">
        <v>45000</v>
      </c>
      <c r="F151" s="3">
        <v>2203.92</v>
      </c>
      <c r="G151" s="3">
        <v>672.66</v>
      </c>
      <c r="H151" s="3">
        <v>88.53</v>
      </c>
      <c r="I151" s="3">
        <v>2655.9</v>
      </c>
      <c r="J151" s="17">
        <v>5000</v>
      </c>
      <c r="K151" s="17">
        <v>10621.01</v>
      </c>
      <c r="L151" s="4">
        <v>3437.9</v>
      </c>
      <c r="M151" s="5">
        <v>46082</v>
      </c>
      <c r="N151" s="3">
        <f t="shared" si="2"/>
        <v>0</v>
      </c>
    </row>
    <row r="152" spans="1:19">
      <c r="A152" s="1">
        <v>6</v>
      </c>
      <c r="B152" s="2" t="s">
        <v>101</v>
      </c>
      <c r="C152" s="2" t="s">
        <v>128</v>
      </c>
      <c r="D152" s="2" t="s">
        <v>129</v>
      </c>
      <c r="E152" s="3">
        <v>35000</v>
      </c>
      <c r="F152" s="3">
        <v>0</v>
      </c>
      <c r="G152" s="3">
        <v>0</v>
      </c>
      <c r="H152" s="3">
        <v>0</v>
      </c>
      <c r="I152" s="3">
        <v>0</v>
      </c>
      <c r="J152" s="17">
        <v>5000</v>
      </c>
      <c r="K152" s="17">
        <v>5000</v>
      </c>
      <c r="L152" s="4">
        <v>3000</v>
      </c>
      <c r="M152" s="5">
        <v>46082</v>
      </c>
      <c r="N152" s="3">
        <f t="shared" si="2"/>
        <v>0</v>
      </c>
      <c r="Q152" s="7">
        <f>Q148-Q150</f>
        <v>0</v>
      </c>
      <c r="R152" s="7">
        <f>R148-R150</f>
        <v>0</v>
      </c>
      <c r="S152" s="7">
        <f>S148-S150</f>
        <v>0</v>
      </c>
    </row>
    <row r="153" spans="1:19">
      <c r="A153" s="1">
        <v>7</v>
      </c>
      <c r="B153" s="2" t="s">
        <v>101</v>
      </c>
      <c r="C153" s="2" t="s">
        <v>133</v>
      </c>
      <c r="D153" s="2" t="s">
        <v>134</v>
      </c>
      <c r="E153" s="3">
        <v>18000</v>
      </c>
      <c r="F153" s="3">
        <v>1440</v>
      </c>
      <c r="G153" s="3">
        <v>360</v>
      </c>
      <c r="H153" s="3">
        <v>36</v>
      </c>
      <c r="I153" s="3">
        <v>1080</v>
      </c>
      <c r="J153" s="17">
        <v>5000</v>
      </c>
      <c r="K153" s="17">
        <v>7916</v>
      </c>
      <c r="L153" s="4">
        <v>613.04</v>
      </c>
      <c r="M153" s="5">
        <v>46082</v>
      </c>
      <c r="N153" s="3">
        <f t="shared" si="2"/>
        <v>0</v>
      </c>
    </row>
    <row r="154" spans="1:19">
      <c r="A154" s="1">
        <v>8</v>
      </c>
      <c r="B154" s="2" t="s">
        <v>101</v>
      </c>
      <c r="C154" s="2" t="s">
        <v>138</v>
      </c>
      <c r="D154" s="2" t="s">
        <v>139</v>
      </c>
      <c r="E154" s="3">
        <v>30000</v>
      </c>
      <c r="F154" s="3">
        <v>2203.92</v>
      </c>
      <c r="G154" s="3">
        <v>600</v>
      </c>
      <c r="H154" s="3">
        <v>60</v>
      </c>
      <c r="I154" s="3">
        <v>1800</v>
      </c>
      <c r="J154" s="17">
        <v>5000</v>
      </c>
      <c r="K154" s="17">
        <v>9663.92</v>
      </c>
      <c r="L154" s="4">
        <v>2033.61</v>
      </c>
      <c r="M154" s="5">
        <v>46082</v>
      </c>
      <c r="N154" s="3">
        <f t="shared" si="2"/>
        <v>0</v>
      </c>
    </row>
    <row r="155" spans="1:19">
      <c r="A155" s="1">
        <v>9</v>
      </c>
      <c r="B155" s="2" t="s">
        <v>101</v>
      </c>
      <c r="C155" s="2" t="s">
        <v>904</v>
      </c>
      <c r="D155" s="2" t="s">
        <v>905</v>
      </c>
      <c r="E155" s="3">
        <v>32000</v>
      </c>
      <c r="F155" s="3">
        <v>2203.92</v>
      </c>
      <c r="G155" s="3">
        <v>640</v>
      </c>
      <c r="H155" s="3">
        <v>64</v>
      </c>
      <c r="I155" s="3">
        <v>1920</v>
      </c>
      <c r="J155" s="17">
        <v>5000</v>
      </c>
      <c r="K155" s="17">
        <v>9827.92</v>
      </c>
      <c r="L155" s="4">
        <v>2217.21</v>
      </c>
      <c r="M155" s="5">
        <v>46082</v>
      </c>
      <c r="N155" s="3">
        <f t="shared" si="2"/>
        <v>0</v>
      </c>
    </row>
    <row r="156" spans="1:19">
      <c r="A156" s="1">
        <v>10</v>
      </c>
      <c r="B156" s="2" t="s">
        <v>101</v>
      </c>
      <c r="C156" s="2" t="s">
        <v>906</v>
      </c>
      <c r="D156" s="2" t="s">
        <v>907</v>
      </c>
      <c r="E156" s="3">
        <v>40965.52</v>
      </c>
      <c r="F156" s="3">
        <v>2203.92</v>
      </c>
      <c r="G156" s="3">
        <v>672.66</v>
      </c>
      <c r="H156" s="3">
        <v>72</v>
      </c>
      <c r="I156" s="3">
        <v>2160</v>
      </c>
      <c r="J156" s="17">
        <v>5000</v>
      </c>
      <c r="K156" s="17">
        <v>10108.58</v>
      </c>
      <c r="L156" s="4">
        <v>2385.69</v>
      </c>
      <c r="M156" s="5">
        <v>46082</v>
      </c>
      <c r="N156" s="3">
        <f t="shared" si="2"/>
        <v>0</v>
      </c>
    </row>
    <row r="157" spans="1:19">
      <c r="A157" s="1">
        <v>11</v>
      </c>
      <c r="B157" s="2" t="s">
        <v>101</v>
      </c>
      <c r="C157" s="2" t="s">
        <v>142</v>
      </c>
      <c r="D157" s="2" t="s">
        <v>143</v>
      </c>
      <c r="E157" s="3">
        <v>30000</v>
      </c>
      <c r="F157" s="3">
        <v>2203.92</v>
      </c>
      <c r="G157" s="3">
        <v>600</v>
      </c>
      <c r="H157" s="3">
        <v>60</v>
      </c>
      <c r="I157" s="3">
        <v>1800</v>
      </c>
      <c r="J157" s="17">
        <v>5000</v>
      </c>
      <c r="K157" s="17">
        <v>9663.92</v>
      </c>
      <c r="L157" s="4">
        <v>2033.61</v>
      </c>
      <c r="M157" s="5">
        <v>46082</v>
      </c>
      <c r="N157" s="3">
        <f t="shared" si="2"/>
        <v>0</v>
      </c>
    </row>
    <row r="158" spans="1:19">
      <c r="A158" s="1">
        <v>12</v>
      </c>
      <c r="B158" s="2" t="s">
        <v>101</v>
      </c>
      <c r="C158" s="2" t="s">
        <v>146</v>
      </c>
      <c r="D158" s="2" t="s">
        <v>147</v>
      </c>
      <c r="E158" s="3">
        <v>20000</v>
      </c>
      <c r="F158" s="3">
        <v>1600</v>
      </c>
      <c r="G158" s="3">
        <v>400</v>
      </c>
      <c r="H158" s="3">
        <v>40</v>
      </c>
      <c r="I158" s="3">
        <v>1200</v>
      </c>
      <c r="J158" s="17">
        <v>5000</v>
      </c>
      <c r="K158" s="17">
        <v>8240</v>
      </c>
      <c r="L158" s="4">
        <v>1132.6</v>
      </c>
      <c r="M158" s="5">
        <v>46082</v>
      </c>
      <c r="N158" s="3">
        <f t="shared" si="2"/>
        <v>0</v>
      </c>
    </row>
    <row r="159" spans="1:19">
      <c r="A159" s="1">
        <v>13</v>
      </c>
      <c r="B159" s="2" t="s">
        <v>101</v>
      </c>
      <c r="C159" s="2" t="s">
        <v>151</v>
      </c>
      <c r="D159" s="2" t="s">
        <v>152</v>
      </c>
      <c r="E159" s="3">
        <v>25750</v>
      </c>
      <c r="F159" s="3">
        <v>2000</v>
      </c>
      <c r="G159" s="3">
        <v>500</v>
      </c>
      <c r="H159" s="3">
        <v>50</v>
      </c>
      <c r="I159" s="3">
        <v>1500</v>
      </c>
      <c r="J159" s="17">
        <v>5000</v>
      </c>
      <c r="K159" s="17">
        <v>9050</v>
      </c>
      <c r="L159" s="4">
        <v>1670</v>
      </c>
      <c r="M159" s="5">
        <v>46082</v>
      </c>
      <c r="N159" s="3">
        <f t="shared" si="2"/>
        <v>0</v>
      </c>
    </row>
    <row r="160" spans="1:19">
      <c r="A160" s="1">
        <v>14</v>
      </c>
      <c r="B160" s="2" t="s">
        <v>101</v>
      </c>
      <c r="C160" s="2" t="s">
        <v>155</v>
      </c>
      <c r="D160" s="2" t="s">
        <v>156</v>
      </c>
      <c r="E160" s="3">
        <v>23000</v>
      </c>
      <c r="F160" s="3">
        <v>1840</v>
      </c>
      <c r="G160" s="3">
        <v>460</v>
      </c>
      <c r="H160" s="3">
        <v>46</v>
      </c>
      <c r="I160" s="3">
        <v>1380</v>
      </c>
      <c r="J160" s="17">
        <v>5000</v>
      </c>
      <c r="K160" s="17">
        <v>8726</v>
      </c>
      <c r="L160" s="4">
        <v>1427.4</v>
      </c>
      <c r="M160" s="5">
        <v>46082</v>
      </c>
      <c r="N160" s="3">
        <f t="shared" si="2"/>
        <v>0</v>
      </c>
    </row>
    <row r="161" spans="1:14">
      <c r="A161" s="1">
        <v>15</v>
      </c>
      <c r="B161" s="2" t="s">
        <v>101</v>
      </c>
      <c r="C161" s="2" t="s">
        <v>160</v>
      </c>
      <c r="D161" s="2" t="s">
        <v>161</v>
      </c>
      <c r="E161" s="3">
        <v>20000</v>
      </c>
      <c r="F161" s="3">
        <v>1600</v>
      </c>
      <c r="G161" s="3">
        <v>400</v>
      </c>
      <c r="H161" s="3">
        <v>40</v>
      </c>
      <c r="I161" s="3">
        <v>1200</v>
      </c>
      <c r="J161" s="17">
        <v>5000</v>
      </c>
      <c r="K161" s="17">
        <v>8240</v>
      </c>
      <c r="L161" s="4">
        <v>202.8</v>
      </c>
      <c r="M161" s="5">
        <v>46082</v>
      </c>
      <c r="N161" s="3">
        <f t="shared" si="2"/>
        <v>0</v>
      </c>
    </row>
    <row r="162" spans="1:14">
      <c r="A162" s="1">
        <v>16</v>
      </c>
      <c r="B162" s="2" t="s">
        <v>101</v>
      </c>
      <c r="C162" s="2" t="s">
        <v>165</v>
      </c>
      <c r="D162" s="2" t="s">
        <v>166</v>
      </c>
      <c r="E162" s="3">
        <v>22000</v>
      </c>
      <c r="F162" s="3">
        <v>1760</v>
      </c>
      <c r="G162" s="3">
        <v>440</v>
      </c>
      <c r="H162" s="3">
        <v>44</v>
      </c>
      <c r="I162" s="3">
        <v>1320</v>
      </c>
      <c r="J162" s="17">
        <v>5000</v>
      </c>
      <c r="K162" s="17">
        <v>8564</v>
      </c>
      <c r="L162" s="4">
        <v>1343.6</v>
      </c>
      <c r="M162" s="5">
        <v>46082</v>
      </c>
      <c r="N162" s="3">
        <f t="shared" si="2"/>
        <v>0</v>
      </c>
    </row>
    <row r="163" spans="1:14">
      <c r="A163" s="1">
        <v>17</v>
      </c>
      <c r="B163" s="2" t="s">
        <v>101</v>
      </c>
      <c r="C163" s="2" t="s">
        <v>170</v>
      </c>
      <c r="D163" s="2" t="s">
        <v>171</v>
      </c>
      <c r="E163" s="3">
        <v>15000</v>
      </c>
      <c r="F163" s="3">
        <v>1200</v>
      </c>
      <c r="G163" s="3">
        <v>300</v>
      </c>
      <c r="H163" s="3">
        <v>30</v>
      </c>
      <c r="I163" s="3">
        <v>900</v>
      </c>
      <c r="J163" s="17">
        <v>5000</v>
      </c>
      <c r="K163" s="17">
        <v>7430</v>
      </c>
      <c r="L163" s="4">
        <v>227.1</v>
      </c>
      <c r="M163" s="5">
        <v>46082</v>
      </c>
      <c r="N163" s="3">
        <f t="shared" si="2"/>
        <v>0</v>
      </c>
    </row>
    <row r="164" spans="1:14">
      <c r="A164" s="1">
        <v>18</v>
      </c>
      <c r="B164" s="2" t="s">
        <v>101</v>
      </c>
      <c r="C164" s="2" t="s">
        <v>175</v>
      </c>
      <c r="D164" s="2" t="s">
        <v>176</v>
      </c>
      <c r="E164" s="3">
        <v>25000</v>
      </c>
      <c r="F164" s="3">
        <v>2000</v>
      </c>
      <c r="G164" s="3">
        <v>500</v>
      </c>
      <c r="H164" s="3">
        <v>50</v>
      </c>
      <c r="I164" s="3">
        <v>1500</v>
      </c>
      <c r="J164" s="17">
        <v>5000</v>
      </c>
      <c r="K164" s="17">
        <v>9050</v>
      </c>
      <c r="L164" s="4">
        <v>1595</v>
      </c>
      <c r="M164" s="5">
        <v>46082</v>
      </c>
      <c r="N164" s="3">
        <f t="shared" si="2"/>
        <v>0</v>
      </c>
    </row>
    <row r="165" spans="1:14">
      <c r="A165" s="1">
        <v>19</v>
      </c>
      <c r="B165" s="2" t="s">
        <v>101</v>
      </c>
      <c r="C165" s="2" t="s">
        <v>180</v>
      </c>
      <c r="D165" s="2" t="s">
        <v>181</v>
      </c>
      <c r="E165" s="3">
        <v>13000</v>
      </c>
      <c r="F165" s="3">
        <v>1040</v>
      </c>
      <c r="G165" s="3">
        <v>260</v>
      </c>
      <c r="H165" s="3">
        <v>26</v>
      </c>
      <c r="I165" s="3">
        <v>780</v>
      </c>
      <c r="J165" s="17">
        <v>5000</v>
      </c>
      <c r="K165" s="17">
        <v>7106</v>
      </c>
      <c r="L165" s="4">
        <v>131.82</v>
      </c>
      <c r="M165" s="5">
        <v>46082</v>
      </c>
      <c r="N165" s="3">
        <f t="shared" si="2"/>
        <v>0</v>
      </c>
    </row>
    <row r="166" spans="1:14">
      <c r="A166" s="1">
        <v>20</v>
      </c>
      <c r="B166" s="2" t="s">
        <v>101</v>
      </c>
      <c r="C166" s="2" t="s">
        <v>185</v>
      </c>
      <c r="D166" s="2" t="s">
        <v>186</v>
      </c>
      <c r="E166" s="3">
        <v>50000</v>
      </c>
      <c r="F166" s="3">
        <v>2203.92</v>
      </c>
      <c r="G166" s="3">
        <v>672.66</v>
      </c>
      <c r="H166" s="3">
        <v>88.53</v>
      </c>
      <c r="I166" s="3">
        <v>2655.9</v>
      </c>
      <c r="J166" s="17">
        <v>5000</v>
      </c>
      <c r="K166" s="17">
        <v>10621.01</v>
      </c>
      <c r="L166" s="4">
        <v>3287.9</v>
      </c>
      <c r="M166" s="5">
        <v>46082</v>
      </c>
      <c r="N166" s="3">
        <f t="shared" si="2"/>
        <v>0</v>
      </c>
    </row>
    <row r="167" spans="1:14">
      <c r="A167" s="1">
        <v>21</v>
      </c>
      <c r="B167" s="2" t="s">
        <v>101</v>
      </c>
      <c r="C167" s="2" t="s">
        <v>190</v>
      </c>
      <c r="D167" s="2" t="s">
        <v>191</v>
      </c>
      <c r="E167" s="3">
        <v>14000</v>
      </c>
      <c r="F167" s="3">
        <v>1120</v>
      </c>
      <c r="G167" s="3">
        <v>280</v>
      </c>
      <c r="H167" s="3">
        <v>28</v>
      </c>
      <c r="I167" s="3">
        <v>840</v>
      </c>
      <c r="J167" s="17">
        <v>5000</v>
      </c>
      <c r="K167" s="17">
        <v>7268</v>
      </c>
      <c r="L167" s="4">
        <v>201.96</v>
      </c>
      <c r="M167" s="5">
        <v>46082</v>
      </c>
      <c r="N167" s="3">
        <f t="shared" si="2"/>
        <v>0</v>
      </c>
    </row>
    <row r="168" spans="1:14">
      <c r="A168" s="1">
        <v>22</v>
      </c>
      <c r="B168" s="2" t="s">
        <v>101</v>
      </c>
      <c r="C168" s="2" t="s">
        <v>195</v>
      </c>
      <c r="D168" s="2" t="s">
        <v>196</v>
      </c>
      <c r="E168" s="3">
        <v>18000</v>
      </c>
      <c r="F168" s="3">
        <v>1440</v>
      </c>
      <c r="G168" s="3">
        <v>360</v>
      </c>
      <c r="H168" s="3">
        <v>36</v>
      </c>
      <c r="I168" s="3">
        <v>1080</v>
      </c>
      <c r="J168" s="17">
        <v>5000</v>
      </c>
      <c r="K168" s="17">
        <v>7916</v>
      </c>
      <c r="L168" s="4">
        <v>613.04</v>
      </c>
      <c r="M168" s="5">
        <v>46082</v>
      </c>
      <c r="N168" s="3">
        <f t="shared" si="2"/>
        <v>0</v>
      </c>
    </row>
    <row r="169" spans="1:14">
      <c r="A169" s="1">
        <v>23</v>
      </c>
      <c r="B169" s="2" t="s">
        <v>101</v>
      </c>
      <c r="C169" s="2" t="s">
        <v>200</v>
      </c>
      <c r="D169" s="2" t="s">
        <v>201</v>
      </c>
      <c r="E169" s="3">
        <v>13613.79</v>
      </c>
      <c r="F169" s="3">
        <v>1120</v>
      </c>
      <c r="G169" s="3">
        <v>280</v>
      </c>
      <c r="H169" s="3">
        <v>28</v>
      </c>
      <c r="I169" s="3">
        <v>840</v>
      </c>
      <c r="J169" s="17">
        <v>5000</v>
      </c>
      <c r="K169" s="17">
        <v>7268</v>
      </c>
      <c r="L169" s="4">
        <v>190.37</v>
      </c>
      <c r="M169" s="5">
        <v>46082</v>
      </c>
      <c r="N169" s="3">
        <f t="shared" si="2"/>
        <v>0</v>
      </c>
    </row>
    <row r="170" spans="1:14">
      <c r="A170" s="1">
        <v>24</v>
      </c>
      <c r="B170" s="2" t="s">
        <v>101</v>
      </c>
      <c r="C170" s="2" t="s">
        <v>204</v>
      </c>
      <c r="D170" s="2" t="s">
        <v>205</v>
      </c>
      <c r="E170" s="3">
        <v>33000</v>
      </c>
      <c r="F170" s="3">
        <v>2203.92</v>
      </c>
      <c r="G170" s="3">
        <v>660</v>
      </c>
      <c r="H170" s="3">
        <v>66</v>
      </c>
      <c r="I170" s="3">
        <v>1980</v>
      </c>
      <c r="J170" s="17">
        <v>5000</v>
      </c>
      <c r="K170" s="17">
        <v>9909.92</v>
      </c>
      <c r="L170" s="4">
        <v>2309.01</v>
      </c>
      <c r="M170" s="5">
        <v>46082</v>
      </c>
      <c r="N170" s="3">
        <f t="shared" si="2"/>
        <v>0</v>
      </c>
    </row>
    <row r="171" spans="1:14">
      <c r="A171" s="1">
        <v>25</v>
      </c>
      <c r="B171" s="2" t="s">
        <v>101</v>
      </c>
      <c r="C171" s="2" t="s">
        <v>209</v>
      </c>
      <c r="D171" s="2" t="s">
        <v>210</v>
      </c>
      <c r="E171" s="3">
        <v>19000</v>
      </c>
      <c r="F171" s="3">
        <v>1520</v>
      </c>
      <c r="G171" s="3">
        <v>380</v>
      </c>
      <c r="H171" s="3">
        <v>38</v>
      </c>
      <c r="I171" s="3">
        <v>1140</v>
      </c>
      <c r="J171" s="17">
        <v>5000</v>
      </c>
      <c r="K171" s="17">
        <v>8078</v>
      </c>
      <c r="L171" s="4">
        <v>872.82</v>
      </c>
      <c r="M171" s="5">
        <v>46082</v>
      </c>
      <c r="N171" s="3">
        <f t="shared" si="2"/>
        <v>0</v>
      </c>
    </row>
    <row r="172" spans="1:14">
      <c r="A172" s="1">
        <v>26</v>
      </c>
      <c r="B172" s="2" t="s">
        <v>101</v>
      </c>
      <c r="C172" s="2" t="s">
        <v>214</v>
      </c>
      <c r="D172" s="2" t="s">
        <v>215</v>
      </c>
      <c r="E172" s="3">
        <v>20000</v>
      </c>
      <c r="F172" s="3">
        <v>1600</v>
      </c>
      <c r="G172" s="3">
        <v>400</v>
      </c>
      <c r="H172" s="3">
        <v>40</v>
      </c>
      <c r="I172" s="3">
        <v>1200</v>
      </c>
      <c r="J172" s="17">
        <v>5000</v>
      </c>
      <c r="K172" s="17">
        <v>8240</v>
      </c>
      <c r="L172" s="4">
        <v>1132.6</v>
      </c>
      <c r="M172" s="5">
        <v>46082</v>
      </c>
      <c r="N172" s="3">
        <f t="shared" si="2"/>
        <v>0</v>
      </c>
    </row>
    <row r="173" spans="1:14">
      <c r="A173" s="1">
        <v>27</v>
      </c>
      <c r="B173" s="2" t="s">
        <v>101</v>
      </c>
      <c r="C173" s="2" t="s">
        <v>218</v>
      </c>
      <c r="D173" s="2" t="s">
        <v>219</v>
      </c>
      <c r="E173" s="3">
        <v>30000</v>
      </c>
      <c r="F173" s="3">
        <v>2203.92</v>
      </c>
      <c r="G173" s="3">
        <v>600</v>
      </c>
      <c r="H173" s="3">
        <v>60</v>
      </c>
      <c r="I173" s="3">
        <v>1800</v>
      </c>
      <c r="J173" s="17">
        <v>5000</v>
      </c>
      <c r="K173" s="17">
        <v>9663.92</v>
      </c>
      <c r="L173" s="4">
        <v>2033.61</v>
      </c>
      <c r="M173" s="5">
        <v>46082</v>
      </c>
      <c r="N173" s="3">
        <f t="shared" si="2"/>
        <v>0</v>
      </c>
    </row>
    <row r="174" spans="1:14">
      <c r="A174" s="1">
        <v>28</v>
      </c>
      <c r="B174" s="2" t="s">
        <v>101</v>
      </c>
      <c r="C174" s="2" t="s">
        <v>223</v>
      </c>
      <c r="D174" s="2" t="s">
        <v>224</v>
      </c>
      <c r="E174" s="3">
        <v>20517.7</v>
      </c>
      <c r="F174" s="3">
        <v>1600</v>
      </c>
      <c r="G174" s="3">
        <v>400</v>
      </c>
      <c r="H174" s="3">
        <v>40</v>
      </c>
      <c r="I174" s="3">
        <v>1200</v>
      </c>
      <c r="J174" s="17">
        <v>5000</v>
      </c>
      <c r="K174" s="17">
        <v>8240</v>
      </c>
      <c r="L174" s="4">
        <v>944.37</v>
      </c>
      <c r="M174" s="5">
        <v>46082</v>
      </c>
      <c r="N174" s="3">
        <f t="shared" si="2"/>
        <v>0</v>
      </c>
    </row>
    <row r="175" spans="1:14">
      <c r="A175" s="1">
        <v>29</v>
      </c>
      <c r="B175" s="2" t="s">
        <v>101</v>
      </c>
      <c r="C175" s="2" t="s">
        <v>228</v>
      </c>
      <c r="D175" s="2" t="s">
        <v>229</v>
      </c>
      <c r="E175" s="3">
        <v>25000</v>
      </c>
      <c r="F175" s="3">
        <v>2000</v>
      </c>
      <c r="G175" s="3">
        <v>500</v>
      </c>
      <c r="H175" s="3">
        <v>50</v>
      </c>
      <c r="I175" s="3">
        <v>1500</v>
      </c>
      <c r="J175" s="17">
        <v>5000</v>
      </c>
      <c r="K175" s="17">
        <v>9050</v>
      </c>
      <c r="L175" s="4">
        <v>1595</v>
      </c>
      <c r="M175" s="5">
        <v>46082</v>
      </c>
      <c r="N175" s="3">
        <f t="shared" si="2"/>
        <v>0</v>
      </c>
    </row>
    <row r="176" spans="1:14">
      <c r="A176" s="1">
        <v>30</v>
      </c>
      <c r="B176" s="2" t="s">
        <v>101</v>
      </c>
      <c r="C176" s="2" t="s">
        <v>233</v>
      </c>
      <c r="D176" s="2" t="s">
        <v>234</v>
      </c>
      <c r="E176" s="3">
        <v>36000</v>
      </c>
      <c r="F176" s="3">
        <v>2203.92</v>
      </c>
      <c r="G176" s="3">
        <v>672.66</v>
      </c>
      <c r="H176" s="3">
        <v>72</v>
      </c>
      <c r="I176" s="3">
        <v>2160</v>
      </c>
      <c r="J176" s="17">
        <v>5000</v>
      </c>
      <c r="K176" s="17">
        <v>10108.58</v>
      </c>
      <c r="L176" s="4">
        <v>2589.14</v>
      </c>
      <c r="M176" s="5">
        <v>46082</v>
      </c>
      <c r="N176" s="3">
        <f t="shared" si="2"/>
        <v>0</v>
      </c>
    </row>
    <row r="177" spans="1:14">
      <c r="A177" s="1">
        <v>31</v>
      </c>
      <c r="B177" s="2" t="s">
        <v>101</v>
      </c>
      <c r="C177" s="2" t="s">
        <v>238</v>
      </c>
      <c r="D177" s="2" t="s">
        <v>239</v>
      </c>
      <c r="E177" s="3">
        <v>20000</v>
      </c>
      <c r="F177" s="3">
        <v>1600</v>
      </c>
      <c r="G177" s="3">
        <v>400</v>
      </c>
      <c r="H177" s="3">
        <v>40</v>
      </c>
      <c r="I177" s="3">
        <v>1200</v>
      </c>
      <c r="J177" s="17">
        <v>5000</v>
      </c>
      <c r="K177" s="17">
        <v>8240</v>
      </c>
      <c r="L177" s="4">
        <v>1068.24</v>
      </c>
      <c r="M177" s="5">
        <v>46082</v>
      </c>
      <c r="N177" s="3">
        <f t="shared" si="2"/>
        <v>0</v>
      </c>
    </row>
    <row r="178" spans="1:14">
      <c r="A178" s="1">
        <v>32</v>
      </c>
      <c r="B178" s="2" t="s">
        <v>101</v>
      </c>
      <c r="C178" s="2" t="s">
        <v>242</v>
      </c>
      <c r="D178" s="2" t="s">
        <v>243</v>
      </c>
      <c r="E178" s="3">
        <v>23000</v>
      </c>
      <c r="F178" s="3">
        <v>1840</v>
      </c>
      <c r="G178" s="3">
        <v>460</v>
      </c>
      <c r="H178" s="3">
        <v>46</v>
      </c>
      <c r="I178" s="3">
        <v>1380</v>
      </c>
      <c r="J178" s="17">
        <v>5000</v>
      </c>
      <c r="K178" s="17">
        <v>8726</v>
      </c>
      <c r="L178" s="4">
        <v>1427.4</v>
      </c>
      <c r="M178" s="5">
        <v>46082</v>
      </c>
      <c r="N178" s="3">
        <f t="shared" si="2"/>
        <v>0</v>
      </c>
    </row>
    <row r="179" spans="1:14">
      <c r="A179" s="1">
        <v>33</v>
      </c>
      <c r="B179" s="2" t="s">
        <v>101</v>
      </c>
      <c r="C179" s="2" t="s">
        <v>247</v>
      </c>
      <c r="D179" s="2" t="s">
        <v>248</v>
      </c>
      <c r="E179" s="3">
        <v>8000</v>
      </c>
      <c r="F179" s="3">
        <v>640</v>
      </c>
      <c r="G179" s="3">
        <v>160</v>
      </c>
      <c r="H179" s="3">
        <v>16</v>
      </c>
      <c r="I179" s="3">
        <v>480</v>
      </c>
      <c r="J179" s="17">
        <v>5000</v>
      </c>
      <c r="K179" s="17">
        <v>6296</v>
      </c>
      <c r="L179" s="4">
        <v>6.12</v>
      </c>
      <c r="M179" s="5">
        <v>46082</v>
      </c>
      <c r="N179" s="3">
        <f t="shared" si="2"/>
        <v>0</v>
      </c>
    </row>
    <row r="180" spans="1:14">
      <c r="A180" s="1">
        <v>34</v>
      </c>
      <c r="B180" s="2" t="s">
        <v>101</v>
      </c>
      <c r="C180" s="2" t="s">
        <v>252</v>
      </c>
      <c r="D180" s="2" t="s">
        <v>253</v>
      </c>
      <c r="E180" s="3">
        <v>19000</v>
      </c>
      <c r="F180" s="3">
        <v>1520</v>
      </c>
      <c r="G180" s="3">
        <v>380</v>
      </c>
      <c r="H180" s="3">
        <v>38</v>
      </c>
      <c r="I180" s="3">
        <v>1140</v>
      </c>
      <c r="J180" s="17">
        <v>5000</v>
      </c>
      <c r="K180" s="17">
        <v>8078</v>
      </c>
      <c r="L180" s="4">
        <v>872.82</v>
      </c>
      <c r="M180" s="5">
        <v>46082</v>
      </c>
      <c r="N180" s="3">
        <f t="shared" si="2"/>
        <v>0</v>
      </c>
    </row>
    <row r="181" spans="1:14">
      <c r="A181" s="1">
        <v>35</v>
      </c>
      <c r="B181" s="2" t="s">
        <v>101</v>
      </c>
      <c r="C181" s="2" t="s">
        <v>257</v>
      </c>
      <c r="D181" s="2" t="s">
        <v>258</v>
      </c>
      <c r="E181" s="3">
        <v>30000</v>
      </c>
      <c r="F181" s="3">
        <v>2203.92</v>
      </c>
      <c r="G181" s="3">
        <v>600</v>
      </c>
      <c r="H181" s="3">
        <v>60</v>
      </c>
      <c r="I181" s="3">
        <v>1800</v>
      </c>
      <c r="J181" s="17">
        <v>5000</v>
      </c>
      <c r="K181" s="17">
        <v>9663.92</v>
      </c>
      <c r="L181" s="4">
        <v>2033.61</v>
      </c>
      <c r="M181" s="5">
        <v>46082</v>
      </c>
      <c r="N181" s="3">
        <f t="shared" si="2"/>
        <v>0</v>
      </c>
    </row>
    <row r="182" spans="1:14">
      <c r="A182" s="1">
        <v>36</v>
      </c>
      <c r="B182" s="2" t="s">
        <v>101</v>
      </c>
      <c r="C182" s="2" t="s">
        <v>262</v>
      </c>
      <c r="D182" s="2" t="s">
        <v>263</v>
      </c>
      <c r="E182" s="3">
        <v>45000</v>
      </c>
      <c r="F182" s="3">
        <v>2203.92</v>
      </c>
      <c r="G182" s="3">
        <v>672.66</v>
      </c>
      <c r="H182" s="3">
        <v>88.53</v>
      </c>
      <c r="I182" s="3">
        <v>2655.9</v>
      </c>
      <c r="J182" s="17">
        <v>5000</v>
      </c>
      <c r="K182" s="17">
        <v>10621.01</v>
      </c>
      <c r="L182" s="4">
        <v>3437.9</v>
      </c>
      <c r="M182" s="5">
        <v>46082</v>
      </c>
      <c r="N182" s="3">
        <f t="shared" si="2"/>
        <v>0</v>
      </c>
    </row>
    <row r="183" spans="1:14">
      <c r="A183" s="1">
        <v>37</v>
      </c>
      <c r="B183" s="2" t="s">
        <v>101</v>
      </c>
      <c r="C183" s="2" t="s">
        <v>267</v>
      </c>
      <c r="D183" s="2" t="s">
        <v>268</v>
      </c>
      <c r="E183" s="3">
        <v>21000</v>
      </c>
      <c r="F183" s="3">
        <v>1680</v>
      </c>
      <c r="G183" s="3">
        <v>420</v>
      </c>
      <c r="H183" s="3">
        <v>42</v>
      </c>
      <c r="I183" s="3">
        <v>1260</v>
      </c>
      <c r="J183" s="17">
        <v>5000</v>
      </c>
      <c r="K183" s="17">
        <v>8402</v>
      </c>
      <c r="L183" s="4">
        <v>1050.14</v>
      </c>
      <c r="M183" s="5">
        <v>46082</v>
      </c>
      <c r="N183" s="3">
        <f t="shared" si="2"/>
        <v>0</v>
      </c>
    </row>
    <row r="184" spans="1:14">
      <c r="A184" s="1">
        <v>38</v>
      </c>
      <c r="B184" s="2" t="s">
        <v>101</v>
      </c>
      <c r="C184" s="2" t="s">
        <v>918</v>
      </c>
      <c r="D184" s="2" t="s">
        <v>919</v>
      </c>
      <c r="E184" s="3">
        <v>4000</v>
      </c>
      <c r="F184" s="3">
        <v>0</v>
      </c>
      <c r="G184" s="3">
        <v>0</v>
      </c>
      <c r="H184" s="3">
        <v>0</v>
      </c>
      <c r="I184" s="3">
        <v>0</v>
      </c>
      <c r="J184" s="17">
        <v>5000</v>
      </c>
      <c r="K184" s="17">
        <v>5000</v>
      </c>
      <c r="L184" s="4">
        <v>0</v>
      </c>
      <c r="M184" s="5">
        <v>46082</v>
      </c>
      <c r="N184" s="3">
        <f t="shared" si="2"/>
        <v>0</v>
      </c>
    </row>
    <row r="185" spans="1:14">
      <c r="A185" s="1">
        <v>39</v>
      </c>
      <c r="B185" s="2" t="s">
        <v>101</v>
      </c>
      <c r="C185" s="2" t="s">
        <v>272</v>
      </c>
      <c r="D185" s="2" t="s">
        <v>273</v>
      </c>
      <c r="E185" s="3">
        <v>35000</v>
      </c>
      <c r="F185" s="3">
        <v>2203.92</v>
      </c>
      <c r="G185" s="3">
        <v>672.66</v>
      </c>
      <c r="H185" s="3">
        <v>70</v>
      </c>
      <c r="I185" s="3">
        <v>2100</v>
      </c>
      <c r="J185" s="17">
        <v>5000</v>
      </c>
      <c r="K185" s="17">
        <v>10046.58</v>
      </c>
      <c r="L185" s="4">
        <v>2495.35</v>
      </c>
      <c r="M185" s="5">
        <v>46082</v>
      </c>
      <c r="N185" s="3">
        <f t="shared" si="2"/>
        <v>0</v>
      </c>
    </row>
    <row r="186" spans="1:14">
      <c r="A186" s="1">
        <v>40</v>
      </c>
      <c r="B186" s="2" t="s">
        <v>101</v>
      </c>
      <c r="C186" s="2" t="s">
        <v>277</v>
      </c>
      <c r="D186" s="2" t="s">
        <v>278</v>
      </c>
      <c r="E186" s="3">
        <v>26500</v>
      </c>
      <c r="F186" s="3">
        <v>2120</v>
      </c>
      <c r="G186" s="3">
        <v>530</v>
      </c>
      <c r="H186" s="3">
        <v>53</v>
      </c>
      <c r="I186" s="3">
        <v>1590</v>
      </c>
      <c r="J186" s="17">
        <v>5000</v>
      </c>
      <c r="K186" s="17">
        <v>9293</v>
      </c>
      <c r="L186" s="4">
        <v>1720.7</v>
      </c>
      <c r="M186" s="5">
        <v>46082</v>
      </c>
      <c r="N186" s="3">
        <f t="shared" si="2"/>
        <v>0</v>
      </c>
    </row>
    <row r="187" spans="1:14">
      <c r="A187" s="1">
        <v>41</v>
      </c>
      <c r="B187" s="2" t="s">
        <v>101</v>
      </c>
      <c r="C187" s="2" t="s">
        <v>282</v>
      </c>
      <c r="D187" s="2" t="s">
        <v>283</v>
      </c>
      <c r="E187" s="3">
        <v>16000</v>
      </c>
      <c r="F187" s="3">
        <v>1280</v>
      </c>
      <c r="G187" s="3">
        <v>320</v>
      </c>
      <c r="H187" s="3">
        <v>32</v>
      </c>
      <c r="I187" s="3">
        <v>960</v>
      </c>
      <c r="J187" s="17">
        <v>5000</v>
      </c>
      <c r="K187" s="17">
        <v>7592</v>
      </c>
      <c r="L187" s="4">
        <v>252.24</v>
      </c>
      <c r="M187" s="5">
        <v>46082</v>
      </c>
      <c r="N187" s="3">
        <f t="shared" si="2"/>
        <v>0</v>
      </c>
    </row>
    <row r="188" spans="1:14">
      <c r="A188" s="1">
        <v>42</v>
      </c>
      <c r="B188" s="2" t="s">
        <v>101</v>
      </c>
      <c r="C188" s="2" t="s">
        <v>920</v>
      </c>
      <c r="D188" s="2" t="s">
        <v>921</v>
      </c>
      <c r="E188" s="3">
        <v>14000</v>
      </c>
      <c r="F188" s="3">
        <v>1120</v>
      </c>
      <c r="G188" s="3">
        <v>280</v>
      </c>
      <c r="H188" s="3">
        <v>28</v>
      </c>
      <c r="I188" s="3">
        <v>840</v>
      </c>
      <c r="J188" s="17">
        <v>5000</v>
      </c>
      <c r="K188" s="17">
        <v>7268</v>
      </c>
      <c r="L188" s="4">
        <v>201.96</v>
      </c>
      <c r="M188" s="5">
        <v>46082</v>
      </c>
      <c r="N188" s="3">
        <f t="shared" si="2"/>
        <v>0</v>
      </c>
    </row>
    <row r="189" spans="1:14">
      <c r="A189" s="1">
        <v>43</v>
      </c>
      <c r="B189" s="2" t="s">
        <v>101</v>
      </c>
      <c r="C189" s="2" t="s">
        <v>287</v>
      </c>
      <c r="D189" s="2" t="s">
        <v>288</v>
      </c>
      <c r="E189" s="3">
        <v>13000</v>
      </c>
      <c r="F189" s="3">
        <v>1040</v>
      </c>
      <c r="G189" s="3">
        <v>260</v>
      </c>
      <c r="H189" s="3">
        <v>26</v>
      </c>
      <c r="I189" s="3">
        <v>780</v>
      </c>
      <c r="J189" s="17">
        <v>5000</v>
      </c>
      <c r="K189" s="17">
        <v>7106</v>
      </c>
      <c r="L189" s="4">
        <v>176.82</v>
      </c>
      <c r="M189" s="5">
        <v>46082</v>
      </c>
      <c r="N189" s="3">
        <f t="shared" si="2"/>
        <v>0</v>
      </c>
    </row>
    <row r="190" spans="1:14">
      <c r="A190" s="1">
        <v>44</v>
      </c>
      <c r="B190" s="2" t="s">
        <v>101</v>
      </c>
      <c r="C190" s="2" t="s">
        <v>292</v>
      </c>
      <c r="D190" s="2" t="s">
        <v>293</v>
      </c>
      <c r="E190" s="3">
        <v>8000</v>
      </c>
      <c r="F190" s="3">
        <v>640</v>
      </c>
      <c r="G190" s="3">
        <v>160</v>
      </c>
      <c r="H190" s="3">
        <v>16</v>
      </c>
      <c r="I190" s="3">
        <v>480</v>
      </c>
      <c r="J190" s="17">
        <v>5000</v>
      </c>
      <c r="K190" s="17">
        <v>6296</v>
      </c>
      <c r="L190" s="4">
        <v>10.41</v>
      </c>
      <c r="M190" s="5">
        <v>46082</v>
      </c>
      <c r="N190" s="3">
        <f t="shared" si="2"/>
        <v>0</v>
      </c>
    </row>
    <row r="191" spans="1:14">
      <c r="A191" s="1">
        <v>45</v>
      </c>
      <c r="B191" s="2" t="s">
        <v>101</v>
      </c>
      <c r="C191" s="2" t="s">
        <v>296</v>
      </c>
      <c r="D191" s="2" t="s">
        <v>297</v>
      </c>
      <c r="E191" s="3">
        <v>14000</v>
      </c>
      <c r="F191" s="3">
        <v>1120</v>
      </c>
      <c r="G191" s="3">
        <v>280</v>
      </c>
      <c r="H191" s="3">
        <v>28</v>
      </c>
      <c r="I191" s="3">
        <v>840</v>
      </c>
      <c r="J191" s="17">
        <v>5000</v>
      </c>
      <c r="K191" s="17">
        <v>7268</v>
      </c>
      <c r="L191" s="4">
        <v>201.96</v>
      </c>
      <c r="M191" s="5">
        <v>46082</v>
      </c>
      <c r="N191" s="3">
        <f t="shared" si="2"/>
        <v>0</v>
      </c>
    </row>
    <row r="192" spans="1:14">
      <c r="A192" s="1">
        <v>46</v>
      </c>
      <c r="B192" s="2" t="s">
        <v>101</v>
      </c>
      <c r="C192" s="2" t="s">
        <v>301</v>
      </c>
      <c r="D192" s="2" t="s">
        <v>302</v>
      </c>
      <c r="E192" s="3">
        <v>15000</v>
      </c>
      <c r="F192" s="3">
        <v>1200</v>
      </c>
      <c r="G192" s="3">
        <v>300</v>
      </c>
      <c r="H192" s="3">
        <v>30</v>
      </c>
      <c r="I192" s="3">
        <v>900</v>
      </c>
      <c r="J192" s="17">
        <v>5000</v>
      </c>
      <c r="K192" s="17">
        <v>7430</v>
      </c>
      <c r="L192" s="4">
        <v>227.1</v>
      </c>
      <c r="M192" s="5">
        <v>46082</v>
      </c>
      <c r="N192" s="3">
        <f t="shared" si="2"/>
        <v>0</v>
      </c>
    </row>
    <row r="193" spans="1:19">
      <c r="A193" s="1">
        <v>47</v>
      </c>
      <c r="B193" s="2" t="s">
        <v>101</v>
      </c>
      <c r="C193" s="2" t="s">
        <v>922</v>
      </c>
      <c r="D193" s="2" t="s">
        <v>923</v>
      </c>
      <c r="E193" s="3">
        <v>16000</v>
      </c>
      <c r="F193" s="3">
        <v>1280</v>
      </c>
      <c r="G193" s="3">
        <v>320</v>
      </c>
      <c r="H193" s="3">
        <v>32</v>
      </c>
      <c r="I193" s="3">
        <v>960</v>
      </c>
      <c r="J193" s="17">
        <v>5000</v>
      </c>
      <c r="K193" s="17">
        <v>7592</v>
      </c>
      <c r="L193" s="4">
        <v>190.52</v>
      </c>
      <c r="M193" s="5">
        <v>46082</v>
      </c>
      <c r="N193" s="3">
        <f t="shared" si="2"/>
        <v>0</v>
      </c>
    </row>
    <row r="194" spans="1:19">
      <c r="A194" s="1">
        <v>48</v>
      </c>
      <c r="B194" s="2" t="s">
        <v>101</v>
      </c>
      <c r="C194" s="2" t="s">
        <v>306</v>
      </c>
      <c r="D194" s="2" t="s">
        <v>307</v>
      </c>
      <c r="E194" s="3">
        <v>35000</v>
      </c>
      <c r="F194" s="3">
        <v>2203.92</v>
      </c>
      <c r="G194" s="3">
        <v>672.66</v>
      </c>
      <c r="H194" s="3">
        <v>70</v>
      </c>
      <c r="I194" s="3">
        <v>2100</v>
      </c>
      <c r="J194" s="17">
        <v>5000</v>
      </c>
      <c r="K194" s="17">
        <v>10046.58</v>
      </c>
      <c r="L194" s="4">
        <v>671.02</v>
      </c>
      <c r="M194" s="5">
        <v>46082</v>
      </c>
      <c r="N194" s="3">
        <f t="shared" ref="N194:N257" si="3">K194-F194-G194-H194-I194-J194</f>
        <v>0</v>
      </c>
    </row>
    <row r="195" spans="1:19">
      <c r="A195" s="1">
        <v>49</v>
      </c>
      <c r="B195" s="2" t="s">
        <v>101</v>
      </c>
      <c r="C195" s="2" t="s">
        <v>924</v>
      </c>
      <c r="D195" s="2" t="s">
        <v>925</v>
      </c>
      <c r="E195" s="3">
        <v>3080.46</v>
      </c>
      <c r="F195" s="3">
        <v>0</v>
      </c>
      <c r="G195" s="3">
        <v>0</v>
      </c>
      <c r="H195" s="3">
        <v>0</v>
      </c>
      <c r="I195" s="3">
        <v>0</v>
      </c>
      <c r="J195" s="17">
        <v>5000</v>
      </c>
      <c r="K195" s="17">
        <v>5000</v>
      </c>
      <c r="L195" s="4">
        <v>0</v>
      </c>
      <c r="M195" s="5">
        <v>46082</v>
      </c>
      <c r="N195" s="3">
        <f t="shared" si="3"/>
        <v>0</v>
      </c>
    </row>
    <row r="196" spans="1:19">
      <c r="A196" s="1">
        <v>50</v>
      </c>
      <c r="B196" s="2" t="s">
        <v>101</v>
      </c>
      <c r="C196" s="2" t="s">
        <v>310</v>
      </c>
      <c r="D196" s="2" t="s">
        <v>311</v>
      </c>
      <c r="E196" s="3">
        <v>2160.92</v>
      </c>
      <c r="F196" s="3">
        <v>0</v>
      </c>
      <c r="G196" s="3">
        <v>0</v>
      </c>
      <c r="H196" s="3">
        <v>0</v>
      </c>
      <c r="I196" s="3">
        <v>0</v>
      </c>
      <c r="J196" s="17">
        <v>5000</v>
      </c>
      <c r="K196" s="17">
        <v>5000</v>
      </c>
      <c r="L196" s="4">
        <v>0</v>
      </c>
      <c r="M196" s="5">
        <v>46082</v>
      </c>
      <c r="N196" s="3">
        <f t="shared" si="3"/>
        <v>0</v>
      </c>
    </row>
    <row r="197" spans="1:19">
      <c r="A197" s="1">
        <v>51</v>
      </c>
      <c r="B197" s="2" t="s">
        <v>101</v>
      </c>
      <c r="C197" s="2" t="s">
        <v>316</v>
      </c>
      <c r="D197" s="2" t="s">
        <v>317</v>
      </c>
      <c r="E197" s="3">
        <v>1195.4</v>
      </c>
      <c r="F197" s="3">
        <v>0</v>
      </c>
      <c r="G197" s="3">
        <v>0</v>
      </c>
      <c r="H197" s="3">
        <v>0</v>
      </c>
      <c r="I197" s="3">
        <v>0</v>
      </c>
      <c r="J197" s="17">
        <v>5000</v>
      </c>
      <c r="K197" s="17">
        <v>5000</v>
      </c>
      <c r="L197" s="4">
        <v>0</v>
      </c>
      <c r="M197" s="5">
        <v>46082</v>
      </c>
      <c r="N197" s="3">
        <f t="shared" si="3"/>
        <v>0</v>
      </c>
    </row>
    <row r="198" spans="1:19">
      <c r="A198" s="1">
        <v>52</v>
      </c>
      <c r="B198" s="2" t="s">
        <v>101</v>
      </c>
      <c r="C198" s="2" t="s">
        <v>321</v>
      </c>
      <c r="D198" s="2" t="s">
        <v>322</v>
      </c>
      <c r="E198" s="3">
        <v>689.66</v>
      </c>
      <c r="F198" s="3">
        <v>0</v>
      </c>
      <c r="G198" s="3">
        <v>0</v>
      </c>
      <c r="H198" s="3">
        <v>0</v>
      </c>
      <c r="I198" s="3">
        <v>0</v>
      </c>
      <c r="J198" s="17">
        <v>5000</v>
      </c>
      <c r="K198" s="17">
        <v>5000</v>
      </c>
      <c r="L198" s="4">
        <v>0</v>
      </c>
      <c r="M198" s="5">
        <v>46082</v>
      </c>
      <c r="N198" s="3">
        <f t="shared" si="3"/>
        <v>0</v>
      </c>
    </row>
    <row r="199" spans="1:19">
      <c r="A199" s="1">
        <v>1</v>
      </c>
      <c r="B199" s="2" t="s">
        <v>101</v>
      </c>
      <c r="C199" s="2" t="s">
        <v>102</v>
      </c>
      <c r="D199" s="2" t="s">
        <v>103</v>
      </c>
      <c r="E199" s="3">
        <v>50000</v>
      </c>
      <c r="F199" s="3">
        <v>2203.92</v>
      </c>
      <c r="G199" s="3">
        <v>672.66</v>
      </c>
      <c r="H199" s="3">
        <v>88.53</v>
      </c>
      <c r="I199" s="3">
        <v>2655.9</v>
      </c>
      <c r="J199" s="3">
        <v>5000</v>
      </c>
      <c r="K199" s="3">
        <v>10621.01</v>
      </c>
      <c r="L199" s="4">
        <v>7875.8</v>
      </c>
      <c r="M199" s="5">
        <v>46113</v>
      </c>
      <c r="N199" s="3">
        <f t="shared" si="3"/>
        <v>0</v>
      </c>
      <c r="Q199" s="7" t="s">
        <v>20</v>
      </c>
      <c r="R199" s="7" t="s">
        <v>90</v>
      </c>
      <c r="S199" s="7" t="s">
        <v>901</v>
      </c>
    </row>
    <row r="200" spans="1:19">
      <c r="A200" s="1">
        <v>2</v>
      </c>
      <c r="B200" s="2" t="s">
        <v>101</v>
      </c>
      <c r="C200" s="2" t="s">
        <v>108</v>
      </c>
      <c r="D200" s="2" t="s">
        <v>109</v>
      </c>
      <c r="E200" s="3">
        <v>16000</v>
      </c>
      <c r="F200" s="3">
        <v>1120</v>
      </c>
      <c r="G200" s="3">
        <v>280</v>
      </c>
      <c r="H200" s="3">
        <v>28</v>
      </c>
      <c r="I200" s="3">
        <v>840</v>
      </c>
      <c r="J200" s="3">
        <v>5000</v>
      </c>
      <c r="K200" s="3">
        <v>7268</v>
      </c>
      <c r="L200" s="4">
        <v>216.96</v>
      </c>
      <c r="M200" s="5">
        <v>46113</v>
      </c>
      <c r="N200" s="3">
        <f t="shared" si="3"/>
        <v>0</v>
      </c>
      <c r="Q200" s="7">
        <f>SUM(E199:E254)</f>
        <v>1292024.13</v>
      </c>
      <c r="R200" s="7">
        <f>SUM(K199:K254)</f>
        <v>463374.9</v>
      </c>
      <c r="S200" s="7">
        <f>SUM(L199:L254)</f>
        <v>90960.77</v>
      </c>
    </row>
    <row r="201" spans="1:19">
      <c r="A201" s="1">
        <v>3</v>
      </c>
      <c r="B201" s="2" t="s">
        <v>101</v>
      </c>
      <c r="C201" s="2" t="s">
        <v>113</v>
      </c>
      <c r="D201" s="2" t="s">
        <v>114</v>
      </c>
      <c r="E201" s="3">
        <v>50000</v>
      </c>
      <c r="F201" s="3">
        <v>2203.92</v>
      </c>
      <c r="G201" s="3">
        <v>672.66</v>
      </c>
      <c r="H201" s="3">
        <v>88.53</v>
      </c>
      <c r="I201" s="3">
        <v>2655.9</v>
      </c>
      <c r="J201" s="3">
        <v>5000</v>
      </c>
      <c r="K201" s="3">
        <v>10621.01</v>
      </c>
      <c r="L201" s="4">
        <v>7875.8</v>
      </c>
      <c r="M201" s="5">
        <v>46113</v>
      </c>
      <c r="N201" s="3">
        <f t="shared" si="3"/>
        <v>0</v>
      </c>
    </row>
    <row r="202" spans="1:19">
      <c r="A202" s="1">
        <v>4</v>
      </c>
      <c r="B202" s="2" t="s">
        <v>101</v>
      </c>
      <c r="C202" s="2" t="s">
        <v>118</v>
      </c>
      <c r="D202" s="2" t="s">
        <v>119</v>
      </c>
      <c r="E202" s="3">
        <v>48200</v>
      </c>
      <c r="F202" s="3">
        <v>2203.92</v>
      </c>
      <c r="G202" s="3">
        <v>672.66</v>
      </c>
      <c r="H202" s="3">
        <v>88.53</v>
      </c>
      <c r="I202" s="3">
        <v>2655.9</v>
      </c>
      <c r="J202" s="3">
        <v>5000</v>
      </c>
      <c r="K202" s="3">
        <v>10621.01</v>
      </c>
      <c r="L202" s="4">
        <v>7515.8</v>
      </c>
      <c r="M202" s="5">
        <v>46113</v>
      </c>
      <c r="N202" s="3">
        <f t="shared" si="3"/>
        <v>0</v>
      </c>
      <c r="Q202" s="7">
        <v>1292024.13</v>
      </c>
      <c r="R202" s="7">
        <v>463374.9</v>
      </c>
      <c r="S202" s="7">
        <v>90960.77</v>
      </c>
    </row>
    <row r="203" spans="1:19">
      <c r="A203" s="1">
        <v>5</v>
      </c>
      <c r="B203" s="2" t="s">
        <v>101</v>
      </c>
      <c r="C203" s="2" t="s">
        <v>123</v>
      </c>
      <c r="D203" s="2" t="s">
        <v>124</v>
      </c>
      <c r="E203" s="3">
        <v>45000</v>
      </c>
      <c r="F203" s="3">
        <v>2203.92</v>
      </c>
      <c r="G203" s="3">
        <v>672.66</v>
      </c>
      <c r="H203" s="3">
        <v>88.53</v>
      </c>
      <c r="I203" s="3">
        <v>2655.9</v>
      </c>
      <c r="J203" s="3">
        <v>5000</v>
      </c>
      <c r="K203" s="3">
        <v>10621.01</v>
      </c>
      <c r="L203" s="4">
        <v>6237.33</v>
      </c>
      <c r="M203" s="5">
        <v>46113</v>
      </c>
      <c r="N203" s="3">
        <f t="shared" si="3"/>
        <v>0</v>
      </c>
    </row>
    <row r="204" spans="1:19">
      <c r="A204" s="1">
        <v>6</v>
      </c>
      <c r="B204" s="2" t="s">
        <v>101</v>
      </c>
      <c r="C204" s="2" t="s">
        <v>128</v>
      </c>
      <c r="D204" s="2" t="s">
        <v>129</v>
      </c>
      <c r="E204" s="3">
        <v>38000</v>
      </c>
      <c r="F204" s="3">
        <v>0</v>
      </c>
      <c r="G204" s="3">
        <v>0</v>
      </c>
      <c r="H204" s="3">
        <v>0</v>
      </c>
      <c r="I204" s="3">
        <v>0</v>
      </c>
      <c r="J204" s="3">
        <v>5000</v>
      </c>
      <c r="K204" s="3">
        <v>5000</v>
      </c>
      <c r="L204" s="4">
        <v>4210</v>
      </c>
      <c r="M204" s="5">
        <v>46113</v>
      </c>
      <c r="N204" s="3">
        <f t="shared" si="3"/>
        <v>0</v>
      </c>
      <c r="Q204" s="7">
        <f>Q200-Q202</f>
        <v>0</v>
      </c>
      <c r="R204" s="7">
        <f>R200-R202</f>
        <v>0</v>
      </c>
      <c r="S204" s="7">
        <f>S200-S202</f>
        <v>0</v>
      </c>
    </row>
    <row r="205" spans="1:19">
      <c r="A205" s="1">
        <v>7</v>
      </c>
      <c r="B205" s="2" t="s">
        <v>101</v>
      </c>
      <c r="C205" s="2" t="s">
        <v>133</v>
      </c>
      <c r="D205" s="2" t="s">
        <v>134</v>
      </c>
      <c r="E205" s="3">
        <v>18000</v>
      </c>
      <c r="F205" s="3">
        <v>1440</v>
      </c>
      <c r="G205" s="3">
        <v>360</v>
      </c>
      <c r="H205" s="3">
        <v>36</v>
      </c>
      <c r="I205" s="3">
        <v>1080</v>
      </c>
      <c r="J205" s="3">
        <v>5000</v>
      </c>
      <c r="K205" s="3">
        <v>7916</v>
      </c>
      <c r="L205" s="4">
        <v>1008.4</v>
      </c>
      <c r="M205" s="5">
        <v>46113</v>
      </c>
      <c r="N205" s="3">
        <f t="shared" si="3"/>
        <v>0</v>
      </c>
    </row>
    <row r="206" spans="1:19">
      <c r="A206" s="1">
        <v>8</v>
      </c>
      <c r="B206" s="2" t="s">
        <v>101</v>
      </c>
      <c r="C206" s="2" t="s">
        <v>138</v>
      </c>
      <c r="D206" s="2" t="s">
        <v>139</v>
      </c>
      <c r="E206" s="3">
        <v>30000</v>
      </c>
      <c r="F206" s="3">
        <v>2203.92</v>
      </c>
      <c r="G206" s="3">
        <v>600</v>
      </c>
      <c r="H206" s="3">
        <v>60</v>
      </c>
      <c r="I206" s="3">
        <v>1800</v>
      </c>
      <c r="J206" s="3">
        <v>5000</v>
      </c>
      <c r="K206" s="3">
        <v>9663.92</v>
      </c>
      <c r="L206" s="4">
        <v>2033.61</v>
      </c>
      <c r="M206" s="5">
        <v>46113</v>
      </c>
      <c r="N206" s="3">
        <f t="shared" si="3"/>
        <v>0</v>
      </c>
    </row>
    <row r="207" spans="1:19">
      <c r="A207" s="1">
        <v>9</v>
      </c>
      <c r="B207" s="2" t="s">
        <v>101</v>
      </c>
      <c r="C207" s="2" t="s">
        <v>904</v>
      </c>
      <c r="D207" s="2" t="s">
        <v>905</v>
      </c>
      <c r="E207" s="3">
        <v>32000</v>
      </c>
      <c r="F207" s="3">
        <v>2203.92</v>
      </c>
      <c r="G207" s="3">
        <v>640</v>
      </c>
      <c r="H207" s="3">
        <v>64</v>
      </c>
      <c r="I207" s="3">
        <v>1920</v>
      </c>
      <c r="J207" s="3">
        <v>5000</v>
      </c>
      <c r="K207" s="3">
        <v>9827.92</v>
      </c>
      <c r="L207" s="4">
        <v>2217.21</v>
      </c>
      <c r="M207" s="5">
        <v>46113</v>
      </c>
      <c r="N207" s="3">
        <f t="shared" si="3"/>
        <v>0</v>
      </c>
    </row>
    <row r="208" spans="1:19">
      <c r="A208" s="1">
        <v>10</v>
      </c>
      <c r="B208" s="2" t="s">
        <v>101</v>
      </c>
      <c r="C208" s="2" t="s">
        <v>142</v>
      </c>
      <c r="D208" s="2" t="s">
        <v>143</v>
      </c>
      <c r="E208" s="3">
        <v>30000</v>
      </c>
      <c r="F208" s="3">
        <v>2203.92</v>
      </c>
      <c r="G208" s="3">
        <v>600</v>
      </c>
      <c r="H208" s="3">
        <v>60</v>
      </c>
      <c r="I208" s="3">
        <v>1800</v>
      </c>
      <c r="J208" s="3">
        <v>5000</v>
      </c>
      <c r="K208" s="3">
        <v>9663.92</v>
      </c>
      <c r="L208" s="4">
        <v>2033.61</v>
      </c>
      <c r="M208" s="5">
        <v>46113</v>
      </c>
      <c r="N208" s="3">
        <f t="shared" si="3"/>
        <v>0</v>
      </c>
    </row>
    <row r="209" spans="1:14">
      <c r="A209" s="1">
        <v>11</v>
      </c>
      <c r="B209" s="2" t="s">
        <v>101</v>
      </c>
      <c r="C209" s="2" t="s">
        <v>146</v>
      </c>
      <c r="D209" s="2" t="s">
        <v>147</v>
      </c>
      <c r="E209" s="3">
        <v>20000</v>
      </c>
      <c r="F209" s="3">
        <v>1600</v>
      </c>
      <c r="G209" s="3">
        <v>400</v>
      </c>
      <c r="H209" s="3">
        <v>40</v>
      </c>
      <c r="I209" s="3">
        <v>1200</v>
      </c>
      <c r="J209" s="3">
        <v>5000</v>
      </c>
      <c r="K209" s="3">
        <v>8240</v>
      </c>
      <c r="L209" s="4">
        <v>1176</v>
      </c>
      <c r="M209" s="5">
        <v>46113</v>
      </c>
      <c r="N209" s="3">
        <f t="shared" si="3"/>
        <v>0</v>
      </c>
    </row>
    <row r="210" spans="1:14">
      <c r="A210" s="1">
        <v>12</v>
      </c>
      <c r="B210" s="2" t="s">
        <v>101</v>
      </c>
      <c r="C210" s="2" t="s">
        <v>151</v>
      </c>
      <c r="D210" s="2" t="s">
        <v>152</v>
      </c>
      <c r="E210" s="3">
        <v>25000</v>
      </c>
      <c r="F210" s="3">
        <v>2000</v>
      </c>
      <c r="G210" s="3">
        <v>500</v>
      </c>
      <c r="H210" s="3">
        <v>50</v>
      </c>
      <c r="I210" s="3">
        <v>1500</v>
      </c>
      <c r="J210" s="3">
        <v>5000</v>
      </c>
      <c r="K210" s="3">
        <v>9050</v>
      </c>
      <c r="L210" s="4">
        <v>1595</v>
      </c>
      <c r="M210" s="5">
        <v>46113</v>
      </c>
      <c r="N210" s="3">
        <f t="shared" si="3"/>
        <v>0</v>
      </c>
    </row>
    <row r="211" spans="1:14">
      <c r="A211" s="1">
        <v>13</v>
      </c>
      <c r="B211" s="2" t="s">
        <v>101</v>
      </c>
      <c r="C211" s="2" t="s">
        <v>155</v>
      </c>
      <c r="D211" s="2" t="s">
        <v>156</v>
      </c>
      <c r="E211" s="3">
        <v>23200</v>
      </c>
      <c r="F211" s="3">
        <v>1840</v>
      </c>
      <c r="G211" s="3">
        <v>460</v>
      </c>
      <c r="H211" s="3">
        <v>46</v>
      </c>
      <c r="I211" s="3">
        <v>1380</v>
      </c>
      <c r="J211" s="3">
        <v>5000</v>
      </c>
      <c r="K211" s="3">
        <v>8726</v>
      </c>
      <c r="L211" s="4">
        <v>1447.4</v>
      </c>
      <c r="M211" s="5">
        <v>46113</v>
      </c>
      <c r="N211" s="3">
        <f t="shared" si="3"/>
        <v>0</v>
      </c>
    </row>
    <row r="212" spans="1:14">
      <c r="A212" s="1">
        <v>14</v>
      </c>
      <c r="B212" s="2" t="s">
        <v>101</v>
      </c>
      <c r="C212" s="2" t="s">
        <v>160</v>
      </c>
      <c r="D212" s="2" t="s">
        <v>161</v>
      </c>
      <c r="E212" s="3">
        <v>21200</v>
      </c>
      <c r="F212" s="3">
        <v>1600</v>
      </c>
      <c r="G212" s="3">
        <v>400</v>
      </c>
      <c r="H212" s="3">
        <v>40</v>
      </c>
      <c r="I212" s="3">
        <v>1200</v>
      </c>
      <c r="J212" s="3">
        <v>5000</v>
      </c>
      <c r="K212" s="3">
        <v>8240</v>
      </c>
      <c r="L212" s="4">
        <v>238.8</v>
      </c>
      <c r="M212" s="5">
        <v>46113</v>
      </c>
      <c r="N212" s="3">
        <f t="shared" si="3"/>
        <v>0</v>
      </c>
    </row>
    <row r="213" spans="1:14">
      <c r="A213" s="1">
        <v>15</v>
      </c>
      <c r="B213" s="2" t="s">
        <v>101</v>
      </c>
      <c r="C213" s="2" t="s">
        <v>165</v>
      </c>
      <c r="D213" s="2" t="s">
        <v>166</v>
      </c>
      <c r="E213" s="3">
        <v>24000</v>
      </c>
      <c r="F213" s="3">
        <v>1760</v>
      </c>
      <c r="G213" s="3">
        <v>440</v>
      </c>
      <c r="H213" s="3">
        <v>44</v>
      </c>
      <c r="I213" s="3">
        <v>1320</v>
      </c>
      <c r="J213" s="3">
        <v>5000</v>
      </c>
      <c r="K213" s="3">
        <v>8564</v>
      </c>
      <c r="L213" s="4">
        <v>1543.6</v>
      </c>
      <c r="M213" s="5">
        <v>46113</v>
      </c>
      <c r="N213" s="3">
        <f t="shared" si="3"/>
        <v>0</v>
      </c>
    </row>
    <row r="214" spans="1:14">
      <c r="A214" s="1">
        <v>16</v>
      </c>
      <c r="B214" s="2" t="s">
        <v>101</v>
      </c>
      <c r="C214" s="2" t="s">
        <v>170</v>
      </c>
      <c r="D214" s="2" t="s">
        <v>171</v>
      </c>
      <c r="E214" s="3">
        <v>16200</v>
      </c>
      <c r="F214" s="3">
        <v>1200</v>
      </c>
      <c r="G214" s="3">
        <v>300</v>
      </c>
      <c r="H214" s="3">
        <v>30</v>
      </c>
      <c r="I214" s="3">
        <v>900</v>
      </c>
      <c r="J214" s="3">
        <v>5000</v>
      </c>
      <c r="K214" s="3">
        <v>7430</v>
      </c>
      <c r="L214" s="4">
        <v>483.6</v>
      </c>
      <c r="M214" s="5">
        <v>46113</v>
      </c>
      <c r="N214" s="3">
        <f t="shared" si="3"/>
        <v>0</v>
      </c>
    </row>
    <row r="215" spans="1:14">
      <c r="A215" s="1">
        <v>17</v>
      </c>
      <c r="B215" s="2" t="s">
        <v>101</v>
      </c>
      <c r="C215" s="2" t="s">
        <v>175</v>
      </c>
      <c r="D215" s="2" t="s">
        <v>176</v>
      </c>
      <c r="E215" s="3">
        <v>27200</v>
      </c>
      <c r="F215" s="3">
        <v>2000</v>
      </c>
      <c r="G215" s="3">
        <v>500</v>
      </c>
      <c r="H215" s="3">
        <v>50</v>
      </c>
      <c r="I215" s="3">
        <v>1500</v>
      </c>
      <c r="J215" s="3">
        <v>5000</v>
      </c>
      <c r="K215" s="3">
        <v>9050</v>
      </c>
      <c r="L215" s="4">
        <v>1815</v>
      </c>
      <c r="M215" s="5">
        <v>46113</v>
      </c>
      <c r="N215" s="3">
        <f t="shared" si="3"/>
        <v>0</v>
      </c>
    </row>
    <row r="216" spans="1:14">
      <c r="A216" s="1">
        <v>18</v>
      </c>
      <c r="B216" s="2" t="s">
        <v>101</v>
      </c>
      <c r="C216" s="2" t="s">
        <v>180</v>
      </c>
      <c r="D216" s="2" t="s">
        <v>181</v>
      </c>
      <c r="E216" s="3">
        <v>14000</v>
      </c>
      <c r="F216" s="3">
        <v>1040</v>
      </c>
      <c r="G216" s="3">
        <v>260</v>
      </c>
      <c r="H216" s="3">
        <v>26</v>
      </c>
      <c r="I216" s="3">
        <v>780</v>
      </c>
      <c r="J216" s="3">
        <v>5000</v>
      </c>
      <c r="K216" s="3">
        <v>7106</v>
      </c>
      <c r="L216" s="4">
        <v>161.82</v>
      </c>
      <c r="M216" s="5">
        <v>46113</v>
      </c>
      <c r="N216" s="3">
        <f t="shared" si="3"/>
        <v>0</v>
      </c>
    </row>
    <row r="217" spans="1:14">
      <c r="A217" s="1">
        <v>19</v>
      </c>
      <c r="B217" s="2" t="s">
        <v>101</v>
      </c>
      <c r="C217" s="2" t="s">
        <v>185</v>
      </c>
      <c r="D217" s="2" t="s">
        <v>186</v>
      </c>
      <c r="E217" s="3">
        <v>50000</v>
      </c>
      <c r="F217" s="3">
        <v>2203.92</v>
      </c>
      <c r="G217" s="3">
        <v>672.66</v>
      </c>
      <c r="H217" s="3">
        <v>88.53</v>
      </c>
      <c r="I217" s="3">
        <v>2655.9</v>
      </c>
      <c r="J217" s="3">
        <v>5000</v>
      </c>
      <c r="K217" s="3">
        <v>10621.01</v>
      </c>
      <c r="L217" s="4">
        <v>5337.33</v>
      </c>
      <c r="M217" s="5">
        <v>46113</v>
      </c>
      <c r="N217" s="3">
        <f t="shared" si="3"/>
        <v>0</v>
      </c>
    </row>
    <row r="218" spans="1:14">
      <c r="A218" s="1">
        <v>20</v>
      </c>
      <c r="B218" s="2" t="s">
        <v>101</v>
      </c>
      <c r="C218" s="2" t="s">
        <v>190</v>
      </c>
      <c r="D218" s="2" t="s">
        <v>191</v>
      </c>
      <c r="E218" s="3">
        <v>14000</v>
      </c>
      <c r="F218" s="3">
        <v>1120</v>
      </c>
      <c r="G218" s="3">
        <v>280</v>
      </c>
      <c r="H218" s="3">
        <v>28</v>
      </c>
      <c r="I218" s="3">
        <v>840</v>
      </c>
      <c r="J218" s="3">
        <v>5000</v>
      </c>
      <c r="K218" s="3">
        <v>7268</v>
      </c>
      <c r="L218" s="4">
        <v>201.96</v>
      </c>
      <c r="M218" s="5">
        <v>46113</v>
      </c>
      <c r="N218" s="3">
        <f t="shared" si="3"/>
        <v>0</v>
      </c>
    </row>
    <row r="219" spans="1:14">
      <c r="A219" s="1">
        <v>21</v>
      </c>
      <c r="B219" s="2" t="s">
        <v>101</v>
      </c>
      <c r="C219" s="2" t="s">
        <v>195</v>
      </c>
      <c r="D219" s="2" t="s">
        <v>196</v>
      </c>
      <c r="E219" s="3">
        <v>18000</v>
      </c>
      <c r="F219" s="3">
        <v>1440</v>
      </c>
      <c r="G219" s="3">
        <v>360</v>
      </c>
      <c r="H219" s="3">
        <v>36</v>
      </c>
      <c r="I219" s="3">
        <v>1080</v>
      </c>
      <c r="J219" s="3">
        <v>5000</v>
      </c>
      <c r="K219" s="3">
        <v>7916</v>
      </c>
      <c r="L219" s="4">
        <v>1008.4</v>
      </c>
      <c r="M219" s="5">
        <v>46113</v>
      </c>
      <c r="N219" s="3">
        <f t="shared" si="3"/>
        <v>0</v>
      </c>
    </row>
    <row r="220" spans="1:14">
      <c r="A220" s="1">
        <v>22</v>
      </c>
      <c r="B220" s="2" t="s">
        <v>101</v>
      </c>
      <c r="C220" s="2" t="s">
        <v>200</v>
      </c>
      <c r="D220" s="2" t="s">
        <v>201</v>
      </c>
      <c r="E220" s="3">
        <v>14000</v>
      </c>
      <c r="F220" s="3">
        <v>1120</v>
      </c>
      <c r="G220" s="3">
        <v>280</v>
      </c>
      <c r="H220" s="3">
        <v>28</v>
      </c>
      <c r="I220" s="3">
        <v>840</v>
      </c>
      <c r="J220" s="3">
        <v>5000</v>
      </c>
      <c r="K220" s="3">
        <v>7268</v>
      </c>
      <c r="L220" s="4">
        <v>201.96</v>
      </c>
      <c r="M220" s="5">
        <v>46113</v>
      </c>
      <c r="N220" s="3">
        <f t="shared" si="3"/>
        <v>0</v>
      </c>
    </row>
    <row r="221" spans="1:14">
      <c r="A221" s="1">
        <v>23</v>
      </c>
      <c r="B221" s="2" t="s">
        <v>101</v>
      </c>
      <c r="C221" s="2" t="s">
        <v>204</v>
      </c>
      <c r="D221" s="2" t="s">
        <v>205</v>
      </c>
      <c r="E221" s="3">
        <v>36300</v>
      </c>
      <c r="F221" s="3">
        <v>2203.92</v>
      </c>
      <c r="G221" s="3">
        <v>660</v>
      </c>
      <c r="H221" s="3">
        <v>66</v>
      </c>
      <c r="I221" s="3">
        <v>1980</v>
      </c>
      <c r="J221" s="3">
        <v>5000</v>
      </c>
      <c r="K221" s="3">
        <v>9909.92</v>
      </c>
      <c r="L221" s="4">
        <v>2639.01</v>
      </c>
      <c r="M221" s="5">
        <v>46113</v>
      </c>
      <c r="N221" s="3">
        <f t="shared" si="3"/>
        <v>0</v>
      </c>
    </row>
    <row r="222" spans="1:14">
      <c r="A222" s="1">
        <v>24</v>
      </c>
      <c r="B222" s="2" t="s">
        <v>101</v>
      </c>
      <c r="C222" s="2" t="s">
        <v>209</v>
      </c>
      <c r="D222" s="2" t="s">
        <v>210</v>
      </c>
      <c r="E222" s="3">
        <v>19000</v>
      </c>
      <c r="F222" s="3">
        <v>1520</v>
      </c>
      <c r="G222" s="3">
        <v>380</v>
      </c>
      <c r="H222" s="3">
        <v>38</v>
      </c>
      <c r="I222" s="3">
        <v>1140</v>
      </c>
      <c r="J222" s="3">
        <v>5000</v>
      </c>
      <c r="K222" s="3">
        <v>8078</v>
      </c>
      <c r="L222" s="4">
        <v>1092.2</v>
      </c>
      <c r="M222" s="5">
        <v>46113</v>
      </c>
      <c r="N222" s="3">
        <f t="shared" si="3"/>
        <v>0</v>
      </c>
    </row>
    <row r="223" spans="1:14">
      <c r="A223" s="1">
        <v>25</v>
      </c>
      <c r="B223" s="2" t="s">
        <v>101</v>
      </c>
      <c r="C223" s="2" t="s">
        <v>214</v>
      </c>
      <c r="D223" s="2" t="s">
        <v>215</v>
      </c>
      <c r="E223" s="3">
        <v>20000</v>
      </c>
      <c r="F223" s="3">
        <v>1600</v>
      </c>
      <c r="G223" s="3">
        <v>400</v>
      </c>
      <c r="H223" s="3">
        <v>40</v>
      </c>
      <c r="I223" s="3">
        <v>1200</v>
      </c>
      <c r="J223" s="3">
        <v>5000</v>
      </c>
      <c r="K223" s="3">
        <v>8240</v>
      </c>
      <c r="L223" s="4">
        <v>1176</v>
      </c>
      <c r="M223" s="5">
        <v>46113</v>
      </c>
      <c r="N223" s="3">
        <f t="shared" si="3"/>
        <v>0</v>
      </c>
    </row>
    <row r="224" spans="1:14">
      <c r="A224" s="1">
        <v>26</v>
      </c>
      <c r="B224" s="2" t="s">
        <v>101</v>
      </c>
      <c r="C224" s="2" t="s">
        <v>218</v>
      </c>
      <c r="D224" s="2" t="s">
        <v>219</v>
      </c>
      <c r="E224" s="3">
        <v>30000</v>
      </c>
      <c r="F224" s="3">
        <v>2203.92</v>
      </c>
      <c r="G224" s="3">
        <v>600</v>
      </c>
      <c r="H224" s="3">
        <v>60</v>
      </c>
      <c r="I224" s="3">
        <v>1800</v>
      </c>
      <c r="J224" s="3">
        <v>5000</v>
      </c>
      <c r="K224" s="3">
        <v>9663.92</v>
      </c>
      <c r="L224" s="4">
        <v>2033.61</v>
      </c>
      <c r="M224" s="5">
        <v>46113</v>
      </c>
      <c r="N224" s="3">
        <f t="shared" si="3"/>
        <v>0</v>
      </c>
    </row>
    <row r="225" spans="1:14">
      <c r="A225" s="1">
        <v>27</v>
      </c>
      <c r="B225" s="2" t="s">
        <v>101</v>
      </c>
      <c r="C225" s="2" t="s">
        <v>223</v>
      </c>
      <c r="D225" s="2" t="s">
        <v>224</v>
      </c>
      <c r="E225" s="3">
        <v>20000</v>
      </c>
      <c r="F225" s="3">
        <v>1600</v>
      </c>
      <c r="G225" s="3">
        <v>400</v>
      </c>
      <c r="H225" s="3">
        <v>40</v>
      </c>
      <c r="I225" s="3">
        <v>1200</v>
      </c>
      <c r="J225" s="3">
        <v>5000</v>
      </c>
      <c r="K225" s="3">
        <v>8240</v>
      </c>
      <c r="L225" s="4">
        <v>1076</v>
      </c>
      <c r="M225" s="5">
        <v>46113</v>
      </c>
      <c r="N225" s="3">
        <f t="shared" si="3"/>
        <v>0</v>
      </c>
    </row>
    <row r="226" spans="1:14">
      <c r="A226" s="1">
        <v>28</v>
      </c>
      <c r="B226" s="2" t="s">
        <v>101</v>
      </c>
      <c r="C226" s="2" t="s">
        <v>228</v>
      </c>
      <c r="D226" s="2" t="s">
        <v>229</v>
      </c>
      <c r="E226" s="3">
        <v>25000</v>
      </c>
      <c r="F226" s="3">
        <v>2000</v>
      </c>
      <c r="G226" s="3">
        <v>500</v>
      </c>
      <c r="H226" s="3">
        <v>50</v>
      </c>
      <c r="I226" s="3">
        <v>1500</v>
      </c>
      <c r="J226" s="3">
        <v>5000</v>
      </c>
      <c r="K226" s="3">
        <v>9050</v>
      </c>
      <c r="L226" s="4">
        <v>1595</v>
      </c>
      <c r="M226" s="5">
        <v>46113</v>
      </c>
      <c r="N226" s="3">
        <f t="shared" si="3"/>
        <v>0</v>
      </c>
    </row>
    <row r="227" spans="1:14">
      <c r="A227" s="1">
        <v>29</v>
      </c>
      <c r="B227" s="2" t="s">
        <v>101</v>
      </c>
      <c r="C227" s="2" t="s">
        <v>233</v>
      </c>
      <c r="D227" s="2" t="s">
        <v>234</v>
      </c>
      <c r="E227" s="3">
        <v>36000</v>
      </c>
      <c r="F227" s="3">
        <v>2203.92</v>
      </c>
      <c r="G227" s="3">
        <v>672.66</v>
      </c>
      <c r="H227" s="3">
        <v>72</v>
      </c>
      <c r="I227" s="3">
        <v>2160</v>
      </c>
      <c r="J227" s="3">
        <v>5000</v>
      </c>
      <c r="K227" s="3">
        <v>10108.58</v>
      </c>
      <c r="L227" s="4">
        <v>2589.15</v>
      </c>
      <c r="M227" s="5">
        <v>46113</v>
      </c>
      <c r="N227" s="3">
        <f t="shared" si="3"/>
        <v>0</v>
      </c>
    </row>
    <row r="228" spans="1:14">
      <c r="A228" s="1">
        <v>30</v>
      </c>
      <c r="B228" s="2" t="s">
        <v>101</v>
      </c>
      <c r="C228" s="2" t="s">
        <v>238</v>
      </c>
      <c r="D228" s="2" t="s">
        <v>239</v>
      </c>
      <c r="E228" s="3">
        <v>20000</v>
      </c>
      <c r="F228" s="3">
        <v>1600</v>
      </c>
      <c r="G228" s="3">
        <v>400</v>
      </c>
      <c r="H228" s="3">
        <v>40</v>
      </c>
      <c r="I228" s="3">
        <v>1200</v>
      </c>
      <c r="J228" s="3">
        <v>5000</v>
      </c>
      <c r="K228" s="3">
        <v>8240</v>
      </c>
      <c r="L228" s="4">
        <v>1176</v>
      </c>
      <c r="M228" s="5">
        <v>46113</v>
      </c>
      <c r="N228" s="3">
        <f t="shared" si="3"/>
        <v>0</v>
      </c>
    </row>
    <row r="229" spans="1:14">
      <c r="A229" s="1">
        <v>31</v>
      </c>
      <c r="B229" s="2" t="s">
        <v>101</v>
      </c>
      <c r="C229" s="2" t="s">
        <v>242</v>
      </c>
      <c r="D229" s="2" t="s">
        <v>243</v>
      </c>
      <c r="E229" s="3">
        <v>24500</v>
      </c>
      <c r="F229" s="3">
        <v>1840</v>
      </c>
      <c r="G229" s="3">
        <v>460</v>
      </c>
      <c r="H229" s="3">
        <v>46</v>
      </c>
      <c r="I229" s="3">
        <v>1380</v>
      </c>
      <c r="J229" s="3">
        <v>5000</v>
      </c>
      <c r="K229" s="3">
        <v>8726</v>
      </c>
      <c r="L229" s="4">
        <v>1577.4</v>
      </c>
      <c r="M229" s="5">
        <v>46113</v>
      </c>
      <c r="N229" s="3">
        <f t="shared" si="3"/>
        <v>0</v>
      </c>
    </row>
    <row r="230" spans="1:14">
      <c r="A230" s="1">
        <v>32</v>
      </c>
      <c r="B230" s="2" t="s">
        <v>101</v>
      </c>
      <c r="C230" s="2" t="s">
        <v>247</v>
      </c>
      <c r="D230" s="2" t="s">
        <v>248</v>
      </c>
      <c r="E230" s="3">
        <v>9000</v>
      </c>
      <c r="F230" s="3">
        <v>640</v>
      </c>
      <c r="G230" s="3">
        <v>160</v>
      </c>
      <c r="H230" s="3">
        <v>16</v>
      </c>
      <c r="I230" s="3">
        <v>480</v>
      </c>
      <c r="J230" s="3">
        <v>5000</v>
      </c>
      <c r="K230" s="3">
        <v>6296</v>
      </c>
      <c r="L230" s="4">
        <v>36.12</v>
      </c>
      <c r="M230" s="5">
        <v>46113</v>
      </c>
      <c r="N230" s="3">
        <f t="shared" si="3"/>
        <v>0</v>
      </c>
    </row>
    <row r="231" spans="1:14">
      <c r="A231" s="1">
        <v>33</v>
      </c>
      <c r="B231" s="2" t="s">
        <v>101</v>
      </c>
      <c r="C231" s="2" t="s">
        <v>252</v>
      </c>
      <c r="D231" s="2" t="s">
        <v>253</v>
      </c>
      <c r="E231" s="3">
        <v>20000</v>
      </c>
      <c r="F231" s="3">
        <v>1520</v>
      </c>
      <c r="G231" s="3">
        <v>380</v>
      </c>
      <c r="H231" s="3">
        <v>38</v>
      </c>
      <c r="I231" s="3">
        <v>1140</v>
      </c>
      <c r="J231" s="3">
        <v>5000</v>
      </c>
      <c r="K231" s="3">
        <v>8078</v>
      </c>
      <c r="L231" s="4">
        <v>1192.2</v>
      </c>
      <c r="M231" s="5">
        <v>46113</v>
      </c>
      <c r="N231" s="3">
        <f t="shared" si="3"/>
        <v>0</v>
      </c>
    </row>
    <row r="232" spans="1:14">
      <c r="A232" s="1">
        <v>34</v>
      </c>
      <c r="B232" s="2" t="s">
        <v>101</v>
      </c>
      <c r="C232" s="2" t="s">
        <v>257</v>
      </c>
      <c r="D232" s="2" t="s">
        <v>258</v>
      </c>
      <c r="E232" s="3">
        <v>33200</v>
      </c>
      <c r="F232" s="3">
        <v>2203.92</v>
      </c>
      <c r="G232" s="3">
        <v>600</v>
      </c>
      <c r="H232" s="3">
        <v>60</v>
      </c>
      <c r="I232" s="3">
        <v>1800</v>
      </c>
      <c r="J232" s="3">
        <v>5000</v>
      </c>
      <c r="K232" s="3">
        <v>9663.92</v>
      </c>
      <c r="L232" s="4">
        <v>2353.61</v>
      </c>
      <c r="M232" s="5">
        <v>46113</v>
      </c>
      <c r="N232" s="3">
        <f t="shared" si="3"/>
        <v>0</v>
      </c>
    </row>
    <row r="233" spans="1:14">
      <c r="A233" s="1">
        <v>35</v>
      </c>
      <c r="B233" s="2" t="s">
        <v>101</v>
      </c>
      <c r="C233" s="2" t="s">
        <v>262</v>
      </c>
      <c r="D233" s="2" t="s">
        <v>263</v>
      </c>
      <c r="E233" s="3">
        <v>45000</v>
      </c>
      <c r="F233" s="3">
        <v>2203.92</v>
      </c>
      <c r="G233" s="3">
        <v>672.66</v>
      </c>
      <c r="H233" s="3">
        <v>88.53</v>
      </c>
      <c r="I233" s="3">
        <v>2655.9</v>
      </c>
      <c r="J233" s="3">
        <v>5000</v>
      </c>
      <c r="K233" s="3">
        <v>10621.01</v>
      </c>
      <c r="L233" s="4">
        <v>6237.33</v>
      </c>
      <c r="M233" s="5">
        <v>46113</v>
      </c>
      <c r="N233" s="3">
        <f t="shared" si="3"/>
        <v>0</v>
      </c>
    </row>
    <row r="234" spans="1:14">
      <c r="A234" s="1">
        <v>36</v>
      </c>
      <c r="B234" s="2" t="s">
        <v>101</v>
      </c>
      <c r="C234" s="2" t="s">
        <v>267</v>
      </c>
      <c r="D234" s="2" t="s">
        <v>268</v>
      </c>
      <c r="E234" s="3">
        <v>21000</v>
      </c>
      <c r="F234" s="3">
        <v>1680</v>
      </c>
      <c r="G234" s="3">
        <v>420</v>
      </c>
      <c r="H234" s="3">
        <v>42</v>
      </c>
      <c r="I234" s="3">
        <v>1260</v>
      </c>
      <c r="J234" s="3">
        <v>5000</v>
      </c>
      <c r="K234" s="3">
        <v>8402</v>
      </c>
      <c r="L234" s="4">
        <v>1259.8</v>
      </c>
      <c r="M234" s="5">
        <v>46113</v>
      </c>
      <c r="N234" s="3">
        <f t="shared" si="3"/>
        <v>0</v>
      </c>
    </row>
    <row r="235" spans="1:14">
      <c r="A235" s="1">
        <v>37</v>
      </c>
      <c r="B235" s="2" t="s">
        <v>101</v>
      </c>
      <c r="C235" s="2" t="s">
        <v>272</v>
      </c>
      <c r="D235" s="2" t="s">
        <v>273</v>
      </c>
      <c r="E235" s="3">
        <v>35000</v>
      </c>
      <c r="F235" s="3">
        <v>2203.92</v>
      </c>
      <c r="G235" s="3">
        <v>672.66</v>
      </c>
      <c r="H235" s="3">
        <v>70</v>
      </c>
      <c r="I235" s="3">
        <v>2100</v>
      </c>
      <c r="J235" s="3">
        <v>5000</v>
      </c>
      <c r="K235" s="3">
        <v>10046.58</v>
      </c>
      <c r="L235" s="4">
        <v>2495.34</v>
      </c>
      <c r="M235" s="5">
        <v>46113</v>
      </c>
      <c r="N235" s="3">
        <f t="shared" si="3"/>
        <v>0</v>
      </c>
    </row>
    <row r="236" spans="1:14">
      <c r="A236" s="1">
        <v>38</v>
      </c>
      <c r="B236" s="2" t="s">
        <v>101</v>
      </c>
      <c r="C236" s="2" t="s">
        <v>277</v>
      </c>
      <c r="D236" s="2" t="s">
        <v>278</v>
      </c>
      <c r="E236" s="3">
        <v>26700</v>
      </c>
      <c r="F236" s="3">
        <v>2120</v>
      </c>
      <c r="G236" s="3">
        <v>530</v>
      </c>
      <c r="H236" s="3">
        <v>53</v>
      </c>
      <c r="I236" s="3">
        <v>1590</v>
      </c>
      <c r="J236" s="3">
        <v>5000</v>
      </c>
      <c r="K236" s="3">
        <v>9293</v>
      </c>
      <c r="L236" s="4">
        <v>1740.7</v>
      </c>
      <c r="M236" s="5">
        <v>46113</v>
      </c>
      <c r="N236" s="3">
        <f t="shared" si="3"/>
        <v>0</v>
      </c>
    </row>
    <row r="237" spans="1:14">
      <c r="A237" s="1">
        <v>39</v>
      </c>
      <c r="B237" s="2" t="s">
        <v>101</v>
      </c>
      <c r="C237" s="2" t="s">
        <v>282</v>
      </c>
      <c r="D237" s="2" t="s">
        <v>283</v>
      </c>
      <c r="E237" s="3">
        <v>16200</v>
      </c>
      <c r="F237" s="3">
        <v>1280</v>
      </c>
      <c r="G237" s="3">
        <v>320</v>
      </c>
      <c r="H237" s="3">
        <v>32</v>
      </c>
      <c r="I237" s="3">
        <v>960</v>
      </c>
      <c r="J237" s="3">
        <v>5000</v>
      </c>
      <c r="K237" s="3">
        <v>7592</v>
      </c>
      <c r="L237" s="4">
        <v>258.24</v>
      </c>
      <c r="M237" s="5">
        <v>46113</v>
      </c>
      <c r="N237" s="3">
        <f t="shared" si="3"/>
        <v>0</v>
      </c>
    </row>
    <row r="238" spans="1:14">
      <c r="A238" s="1">
        <v>40</v>
      </c>
      <c r="B238" s="2" t="s">
        <v>101</v>
      </c>
      <c r="C238" s="2" t="s">
        <v>920</v>
      </c>
      <c r="D238" s="2" t="s">
        <v>921</v>
      </c>
      <c r="E238" s="3">
        <v>14000</v>
      </c>
      <c r="F238" s="3">
        <v>1120</v>
      </c>
      <c r="G238" s="3">
        <v>280</v>
      </c>
      <c r="H238" s="3">
        <v>28</v>
      </c>
      <c r="I238" s="3">
        <v>840</v>
      </c>
      <c r="J238" s="3">
        <v>5000</v>
      </c>
      <c r="K238" s="3">
        <v>7268</v>
      </c>
      <c r="L238" s="4">
        <v>201.96</v>
      </c>
      <c r="M238" s="5">
        <v>46113</v>
      </c>
      <c r="N238" s="3">
        <f t="shared" si="3"/>
        <v>0</v>
      </c>
    </row>
    <row r="239" spans="1:14">
      <c r="A239" s="1">
        <v>41</v>
      </c>
      <c r="B239" s="2" t="s">
        <v>101</v>
      </c>
      <c r="C239" s="2" t="s">
        <v>287</v>
      </c>
      <c r="D239" s="2" t="s">
        <v>288</v>
      </c>
      <c r="E239" s="3">
        <v>13200</v>
      </c>
      <c r="F239" s="3">
        <v>1040</v>
      </c>
      <c r="G239" s="3">
        <v>260</v>
      </c>
      <c r="H239" s="3">
        <v>26</v>
      </c>
      <c r="I239" s="3">
        <v>780</v>
      </c>
      <c r="J239" s="3">
        <v>5000</v>
      </c>
      <c r="K239" s="3">
        <v>7106</v>
      </c>
      <c r="L239" s="4">
        <v>182.82</v>
      </c>
      <c r="M239" s="5">
        <v>46113</v>
      </c>
      <c r="N239" s="3">
        <f t="shared" si="3"/>
        <v>0</v>
      </c>
    </row>
    <row r="240" spans="1:14">
      <c r="A240" s="1">
        <v>42</v>
      </c>
      <c r="B240" s="2" t="s">
        <v>101</v>
      </c>
      <c r="C240" s="2" t="s">
        <v>292</v>
      </c>
      <c r="D240" s="2" t="s">
        <v>293</v>
      </c>
      <c r="E240" s="3">
        <v>8000</v>
      </c>
      <c r="F240" s="3">
        <v>640</v>
      </c>
      <c r="G240" s="3">
        <v>160</v>
      </c>
      <c r="H240" s="3">
        <v>16</v>
      </c>
      <c r="I240" s="3">
        <v>480</v>
      </c>
      <c r="J240" s="3">
        <v>5000</v>
      </c>
      <c r="K240" s="3">
        <v>6296</v>
      </c>
      <c r="L240" s="4">
        <v>51.12</v>
      </c>
      <c r="M240" s="5">
        <v>46113</v>
      </c>
      <c r="N240" s="3">
        <f t="shared" si="3"/>
        <v>0</v>
      </c>
    </row>
    <row r="241" spans="1:19">
      <c r="A241" s="1">
        <v>43</v>
      </c>
      <c r="B241" s="2" t="s">
        <v>101</v>
      </c>
      <c r="C241" s="2" t="s">
        <v>296</v>
      </c>
      <c r="D241" s="2" t="s">
        <v>297</v>
      </c>
      <c r="E241" s="3">
        <v>14000</v>
      </c>
      <c r="F241" s="3">
        <v>1120</v>
      </c>
      <c r="G241" s="3">
        <v>280</v>
      </c>
      <c r="H241" s="3">
        <v>28</v>
      </c>
      <c r="I241" s="3">
        <v>840</v>
      </c>
      <c r="J241" s="3">
        <v>5000</v>
      </c>
      <c r="K241" s="3">
        <v>7268</v>
      </c>
      <c r="L241" s="4">
        <v>201.96</v>
      </c>
      <c r="M241" s="5">
        <v>46113</v>
      </c>
      <c r="N241" s="3">
        <f t="shared" si="3"/>
        <v>0</v>
      </c>
    </row>
    <row r="242" spans="1:19">
      <c r="A242" s="1">
        <v>44</v>
      </c>
      <c r="B242" s="2" t="s">
        <v>101</v>
      </c>
      <c r="C242" s="2" t="s">
        <v>301</v>
      </c>
      <c r="D242" s="2" t="s">
        <v>302</v>
      </c>
      <c r="E242" s="3">
        <v>15200</v>
      </c>
      <c r="F242" s="3">
        <v>1200</v>
      </c>
      <c r="G242" s="3">
        <v>300</v>
      </c>
      <c r="H242" s="3">
        <v>30</v>
      </c>
      <c r="I242" s="3">
        <v>900</v>
      </c>
      <c r="J242" s="3">
        <v>5000</v>
      </c>
      <c r="K242" s="3">
        <v>7430</v>
      </c>
      <c r="L242" s="4">
        <v>233.1</v>
      </c>
      <c r="M242" s="5">
        <v>46113</v>
      </c>
      <c r="N242" s="3">
        <f t="shared" si="3"/>
        <v>0</v>
      </c>
    </row>
    <row r="243" spans="1:19">
      <c r="A243" s="1">
        <v>45</v>
      </c>
      <c r="B243" s="2" t="s">
        <v>101</v>
      </c>
      <c r="C243" s="2" t="s">
        <v>922</v>
      </c>
      <c r="D243" s="2" t="s">
        <v>923</v>
      </c>
      <c r="E243" s="3">
        <v>16000</v>
      </c>
      <c r="F243" s="3">
        <v>1280</v>
      </c>
      <c r="G243" s="3">
        <v>320</v>
      </c>
      <c r="H243" s="3">
        <v>32</v>
      </c>
      <c r="I243" s="3">
        <v>960</v>
      </c>
      <c r="J243" s="3">
        <v>5000</v>
      </c>
      <c r="K243" s="3">
        <v>7592</v>
      </c>
      <c r="L243" s="4">
        <v>252.24</v>
      </c>
      <c r="M243" s="5">
        <v>46113</v>
      </c>
      <c r="N243" s="3">
        <f t="shared" si="3"/>
        <v>0</v>
      </c>
    </row>
    <row r="244" spans="1:19">
      <c r="A244" s="1">
        <v>46</v>
      </c>
      <c r="B244" s="2" t="s">
        <v>101</v>
      </c>
      <c r="C244" s="2" t="s">
        <v>306</v>
      </c>
      <c r="D244" s="2" t="s">
        <v>307</v>
      </c>
      <c r="E244" s="3">
        <v>35000</v>
      </c>
      <c r="F244" s="3">
        <v>2203.92</v>
      </c>
      <c r="G244" s="3">
        <v>672.66</v>
      </c>
      <c r="H244" s="3">
        <v>70</v>
      </c>
      <c r="I244" s="3">
        <v>2100</v>
      </c>
      <c r="J244" s="3">
        <v>5000</v>
      </c>
      <c r="K244" s="3">
        <v>10046.58</v>
      </c>
      <c r="L244" s="4">
        <v>1541.04</v>
      </c>
      <c r="M244" s="5">
        <v>46113</v>
      </c>
      <c r="N244" s="3">
        <f t="shared" si="3"/>
        <v>0</v>
      </c>
    </row>
    <row r="245" spans="1:19">
      <c r="A245" s="1">
        <v>47</v>
      </c>
      <c r="B245" s="2" t="s">
        <v>101</v>
      </c>
      <c r="C245" s="2" t="s">
        <v>924</v>
      </c>
      <c r="D245" s="2" t="s">
        <v>925</v>
      </c>
      <c r="E245" s="3">
        <v>4000</v>
      </c>
      <c r="F245" s="3">
        <v>0</v>
      </c>
      <c r="G245" s="3">
        <v>0</v>
      </c>
      <c r="H245" s="3">
        <v>0</v>
      </c>
      <c r="I245" s="3">
        <v>0</v>
      </c>
      <c r="J245" s="3">
        <v>5000</v>
      </c>
      <c r="K245" s="3">
        <v>5000</v>
      </c>
      <c r="L245" s="4">
        <v>0</v>
      </c>
      <c r="M245" s="5">
        <v>46113</v>
      </c>
      <c r="N245" s="3">
        <f t="shared" si="3"/>
        <v>0</v>
      </c>
    </row>
    <row r="246" spans="1:19">
      <c r="A246" s="1">
        <v>48</v>
      </c>
      <c r="B246" s="2" t="s">
        <v>101</v>
      </c>
      <c r="C246" s="2" t="s">
        <v>310</v>
      </c>
      <c r="D246" s="2" t="s">
        <v>311</v>
      </c>
      <c r="E246" s="3">
        <v>4000</v>
      </c>
      <c r="F246" s="3">
        <v>0</v>
      </c>
      <c r="G246" s="3">
        <v>0</v>
      </c>
      <c r="H246" s="3">
        <v>0</v>
      </c>
      <c r="I246" s="3">
        <v>0</v>
      </c>
      <c r="J246" s="3">
        <v>5000</v>
      </c>
      <c r="K246" s="3">
        <v>5000</v>
      </c>
      <c r="L246" s="4">
        <v>0</v>
      </c>
      <c r="M246" s="5">
        <v>46113</v>
      </c>
      <c r="N246" s="3">
        <f t="shared" si="3"/>
        <v>0</v>
      </c>
    </row>
    <row r="247" spans="1:19">
      <c r="A247" s="1">
        <v>49</v>
      </c>
      <c r="B247" s="2" t="s">
        <v>101</v>
      </c>
      <c r="C247" s="2" t="s">
        <v>316</v>
      </c>
      <c r="D247" s="2" t="s">
        <v>317</v>
      </c>
      <c r="E247" s="3">
        <v>26000</v>
      </c>
      <c r="F247" s="3">
        <v>2080</v>
      </c>
      <c r="G247" s="3">
        <v>520</v>
      </c>
      <c r="H247" s="3">
        <v>52</v>
      </c>
      <c r="I247" s="3">
        <v>1560</v>
      </c>
      <c r="J247" s="3">
        <v>5000</v>
      </c>
      <c r="K247" s="3">
        <v>9212</v>
      </c>
      <c r="L247" s="4">
        <v>389.5</v>
      </c>
      <c r="M247" s="5">
        <v>46113</v>
      </c>
      <c r="N247" s="3">
        <f t="shared" si="3"/>
        <v>0</v>
      </c>
    </row>
    <row r="248" spans="1:19">
      <c r="A248" s="1">
        <v>50</v>
      </c>
      <c r="B248" s="2" t="s">
        <v>101</v>
      </c>
      <c r="C248" s="2" t="s">
        <v>321</v>
      </c>
      <c r="D248" s="2" t="s">
        <v>322</v>
      </c>
      <c r="E248" s="3">
        <v>15000</v>
      </c>
      <c r="F248" s="3">
        <v>1200</v>
      </c>
      <c r="G248" s="3">
        <v>300</v>
      </c>
      <c r="H248" s="3">
        <v>30</v>
      </c>
      <c r="I248" s="3">
        <v>900</v>
      </c>
      <c r="J248" s="3">
        <v>5000</v>
      </c>
      <c r="K248" s="3">
        <v>7430</v>
      </c>
      <c r="L248" s="4">
        <v>97.79</v>
      </c>
      <c r="M248" s="5">
        <v>46113</v>
      </c>
      <c r="N248" s="3">
        <f t="shared" si="3"/>
        <v>0</v>
      </c>
    </row>
    <row r="249" spans="1:19">
      <c r="A249" s="1">
        <v>51</v>
      </c>
      <c r="B249" s="2" t="s">
        <v>101</v>
      </c>
      <c r="C249" s="2" t="s">
        <v>326</v>
      </c>
      <c r="D249" s="2" t="s">
        <v>327</v>
      </c>
      <c r="E249" s="3">
        <v>3632.18</v>
      </c>
      <c r="F249" s="3">
        <v>0</v>
      </c>
      <c r="G249" s="3">
        <v>0</v>
      </c>
      <c r="H249" s="3">
        <v>0</v>
      </c>
      <c r="I249" s="3">
        <v>0</v>
      </c>
      <c r="J249" s="3">
        <v>5000</v>
      </c>
      <c r="K249" s="3">
        <v>5000</v>
      </c>
      <c r="L249" s="4">
        <v>0</v>
      </c>
      <c r="M249" s="5">
        <v>46113</v>
      </c>
      <c r="N249" s="3">
        <f t="shared" si="3"/>
        <v>0</v>
      </c>
    </row>
    <row r="250" spans="1:19">
      <c r="A250" s="1">
        <v>52</v>
      </c>
      <c r="B250" s="2" t="s">
        <v>101</v>
      </c>
      <c r="C250" s="2" t="s">
        <v>331</v>
      </c>
      <c r="D250" s="2" t="s">
        <v>332</v>
      </c>
      <c r="E250" s="3">
        <v>21218.39</v>
      </c>
      <c r="F250" s="3">
        <v>2080</v>
      </c>
      <c r="G250" s="3">
        <v>520</v>
      </c>
      <c r="H250" s="3">
        <v>52</v>
      </c>
      <c r="I250" s="3">
        <v>1560</v>
      </c>
      <c r="J250" s="3">
        <v>5000</v>
      </c>
      <c r="K250" s="3">
        <v>9212</v>
      </c>
      <c r="L250" s="4">
        <v>360.19</v>
      </c>
      <c r="M250" s="5">
        <v>46113</v>
      </c>
      <c r="N250" s="3">
        <f t="shared" si="3"/>
        <v>0</v>
      </c>
    </row>
    <row r="251" spans="1:19">
      <c r="A251" s="1">
        <v>53</v>
      </c>
      <c r="B251" s="2" t="s">
        <v>101</v>
      </c>
      <c r="C251" s="2" t="s">
        <v>336</v>
      </c>
      <c r="D251" s="2" t="s">
        <v>337</v>
      </c>
      <c r="E251" s="3">
        <v>12206.9</v>
      </c>
      <c r="F251" s="3">
        <v>1440</v>
      </c>
      <c r="G251" s="3">
        <v>360</v>
      </c>
      <c r="H251" s="3">
        <v>36</v>
      </c>
      <c r="I251" s="3">
        <v>1080</v>
      </c>
      <c r="J251" s="3">
        <v>5000</v>
      </c>
      <c r="K251" s="3">
        <v>7916</v>
      </c>
      <c r="L251" s="4">
        <v>128.73</v>
      </c>
      <c r="M251" s="5">
        <v>46113</v>
      </c>
      <c r="N251" s="3">
        <f t="shared" si="3"/>
        <v>0</v>
      </c>
    </row>
    <row r="252" spans="1:19">
      <c r="A252" s="1">
        <v>54</v>
      </c>
      <c r="B252" s="2" t="s">
        <v>101</v>
      </c>
      <c r="C252" s="2" t="s">
        <v>926</v>
      </c>
      <c r="D252" s="2" t="s">
        <v>451</v>
      </c>
      <c r="E252" s="3">
        <v>2712.64</v>
      </c>
      <c r="F252" s="3">
        <v>0</v>
      </c>
      <c r="G252" s="3">
        <v>0</v>
      </c>
      <c r="H252" s="3">
        <v>0</v>
      </c>
      <c r="I252" s="3">
        <v>0</v>
      </c>
      <c r="J252" s="3">
        <v>5000</v>
      </c>
      <c r="K252" s="3">
        <v>5000</v>
      </c>
      <c r="L252" s="4">
        <v>0</v>
      </c>
      <c r="M252" s="5">
        <v>46113</v>
      </c>
      <c r="N252" s="3">
        <f t="shared" si="3"/>
        <v>0</v>
      </c>
    </row>
    <row r="253" spans="1:19">
      <c r="A253" s="1">
        <v>55</v>
      </c>
      <c r="B253" s="2" t="s">
        <v>101</v>
      </c>
      <c r="C253" s="2" t="s">
        <v>341</v>
      </c>
      <c r="D253" s="2" t="s">
        <v>342</v>
      </c>
      <c r="E253" s="3">
        <v>20517.24</v>
      </c>
      <c r="F253" s="3">
        <v>2203.92</v>
      </c>
      <c r="G253" s="3">
        <v>672.66</v>
      </c>
      <c r="H253" s="3">
        <v>70</v>
      </c>
      <c r="I253" s="3">
        <v>2100</v>
      </c>
      <c r="J253" s="3">
        <v>5000</v>
      </c>
      <c r="K253" s="3">
        <v>10046.58</v>
      </c>
      <c r="L253" s="4">
        <v>314.12</v>
      </c>
      <c r="M253" s="5">
        <v>46113</v>
      </c>
      <c r="N253" s="3">
        <f t="shared" si="3"/>
        <v>0</v>
      </c>
    </row>
    <row r="254" spans="1:19">
      <c r="A254" s="1">
        <v>56</v>
      </c>
      <c r="B254" s="2" t="s">
        <v>101</v>
      </c>
      <c r="C254" s="2" t="s">
        <v>346</v>
      </c>
      <c r="D254" s="2" t="s">
        <v>347</v>
      </c>
      <c r="E254" s="3">
        <v>6436.78</v>
      </c>
      <c r="F254" s="3">
        <v>0</v>
      </c>
      <c r="G254" s="3">
        <v>0</v>
      </c>
      <c r="H254" s="3">
        <v>0</v>
      </c>
      <c r="I254" s="3">
        <v>0</v>
      </c>
      <c r="J254" s="3">
        <v>5000</v>
      </c>
      <c r="K254" s="3">
        <v>5000</v>
      </c>
      <c r="L254" s="4">
        <v>43.1</v>
      </c>
      <c r="M254" s="5">
        <v>46113</v>
      </c>
      <c r="N254" s="3">
        <f t="shared" si="3"/>
        <v>0</v>
      </c>
    </row>
    <row r="255" spans="1:19">
      <c r="A255" s="1">
        <v>1</v>
      </c>
      <c r="B255" s="2" t="s">
        <v>101</v>
      </c>
      <c r="C255" s="2" t="s">
        <v>102</v>
      </c>
      <c r="D255" s="2" t="s">
        <v>103</v>
      </c>
      <c r="E255" s="3">
        <v>50200</v>
      </c>
      <c r="F255" s="3">
        <v>2203.92</v>
      </c>
      <c r="G255" s="3">
        <v>672.66</v>
      </c>
      <c r="H255" s="3">
        <v>88.53</v>
      </c>
      <c r="I255" s="3">
        <v>2655.9</v>
      </c>
      <c r="J255" s="3">
        <v>5000</v>
      </c>
      <c r="K255" s="3">
        <v>10621.01</v>
      </c>
      <c r="L255" s="4">
        <v>7915.8</v>
      </c>
      <c r="M255" s="5">
        <v>46143</v>
      </c>
      <c r="N255" s="3">
        <f t="shared" si="3"/>
        <v>0</v>
      </c>
      <c r="Q255" s="7" t="s">
        <v>20</v>
      </c>
      <c r="R255" s="7" t="s">
        <v>90</v>
      </c>
      <c r="S255" s="7" t="s">
        <v>901</v>
      </c>
    </row>
    <row r="256" spans="1:19">
      <c r="A256" s="1">
        <v>2</v>
      </c>
      <c r="B256" s="2" t="s">
        <v>101</v>
      </c>
      <c r="C256" s="2" t="s">
        <v>108</v>
      </c>
      <c r="D256" s="2" t="s">
        <v>109</v>
      </c>
      <c r="E256" s="3">
        <v>16000</v>
      </c>
      <c r="F256" s="3">
        <v>1440</v>
      </c>
      <c r="G256" s="3">
        <v>360</v>
      </c>
      <c r="H256" s="3">
        <v>36</v>
      </c>
      <c r="I256" s="3">
        <v>840</v>
      </c>
      <c r="J256" s="3">
        <v>5000</v>
      </c>
      <c r="K256" s="3">
        <v>7676</v>
      </c>
      <c r="L256" s="4">
        <v>204.72</v>
      </c>
      <c r="M256" s="5">
        <v>46143</v>
      </c>
      <c r="N256" s="3">
        <f t="shared" si="3"/>
        <v>0</v>
      </c>
      <c r="Q256" s="7">
        <f>SUM(E255:E319)</f>
        <v>1396495.39</v>
      </c>
      <c r="R256" s="7">
        <f>SUM(K255:K319)</f>
        <v>521949.42</v>
      </c>
      <c r="S256" s="7">
        <f>SUM(L255:L319)</f>
        <v>101716.62</v>
      </c>
    </row>
    <row r="257" spans="1:19">
      <c r="A257" s="1">
        <v>3</v>
      </c>
      <c r="B257" s="2" t="s">
        <v>101</v>
      </c>
      <c r="C257" s="2" t="s">
        <v>113</v>
      </c>
      <c r="D257" s="2" t="s">
        <v>114</v>
      </c>
      <c r="E257" s="3">
        <v>50000</v>
      </c>
      <c r="F257" s="3">
        <v>2203.92</v>
      </c>
      <c r="G257" s="3">
        <v>672.66</v>
      </c>
      <c r="H257" s="3">
        <v>88.53</v>
      </c>
      <c r="I257" s="3">
        <v>2655.9</v>
      </c>
      <c r="J257" s="3">
        <v>5000</v>
      </c>
      <c r="K257" s="3">
        <v>10621.01</v>
      </c>
      <c r="L257" s="4">
        <v>7875.8</v>
      </c>
      <c r="M257" s="5">
        <v>46143</v>
      </c>
      <c r="N257" s="3">
        <f t="shared" si="3"/>
        <v>0</v>
      </c>
    </row>
    <row r="258" spans="1:19">
      <c r="A258" s="1">
        <v>4</v>
      </c>
      <c r="B258" s="2" t="s">
        <v>101</v>
      </c>
      <c r="C258" s="2" t="s">
        <v>118</v>
      </c>
      <c r="D258" s="2" t="s">
        <v>119</v>
      </c>
      <c r="E258" s="3">
        <v>48000</v>
      </c>
      <c r="F258" s="3">
        <v>2203.92</v>
      </c>
      <c r="G258" s="3">
        <v>672.66</v>
      </c>
      <c r="H258" s="3">
        <v>88.53</v>
      </c>
      <c r="I258" s="3">
        <v>2655.9</v>
      </c>
      <c r="J258" s="3">
        <v>5000</v>
      </c>
      <c r="K258" s="3">
        <v>10621.01</v>
      </c>
      <c r="L258" s="4">
        <v>7475.8</v>
      </c>
      <c r="M258" s="5">
        <v>46143</v>
      </c>
      <c r="N258" s="3">
        <f t="shared" ref="N258:N321" si="4">K258-F258-G258-H258-I258-J258</f>
        <v>0</v>
      </c>
      <c r="Q258" s="7">
        <v>1396495.39</v>
      </c>
      <c r="R258" s="7">
        <v>521949.42</v>
      </c>
      <c r="S258" s="7">
        <v>101716.62</v>
      </c>
    </row>
    <row r="259" spans="1:19">
      <c r="A259" s="1">
        <v>5</v>
      </c>
      <c r="B259" s="2" t="s">
        <v>101</v>
      </c>
      <c r="C259" s="2" t="s">
        <v>123</v>
      </c>
      <c r="D259" s="2" t="s">
        <v>124</v>
      </c>
      <c r="E259" s="3">
        <v>45000</v>
      </c>
      <c r="F259" s="3">
        <v>2203.92</v>
      </c>
      <c r="G259" s="3">
        <v>672.66</v>
      </c>
      <c r="H259" s="3">
        <v>88.53</v>
      </c>
      <c r="I259" s="3">
        <v>2655.9</v>
      </c>
      <c r="J259" s="3">
        <v>5000</v>
      </c>
      <c r="K259" s="3">
        <v>10621.01</v>
      </c>
      <c r="L259" s="4">
        <v>6875.8</v>
      </c>
      <c r="M259" s="5">
        <v>46143</v>
      </c>
      <c r="N259" s="3">
        <f t="shared" si="4"/>
        <v>0</v>
      </c>
    </row>
    <row r="260" spans="1:19">
      <c r="A260" s="1">
        <v>6</v>
      </c>
      <c r="B260" s="2" t="s">
        <v>101</v>
      </c>
      <c r="C260" s="2" t="s">
        <v>128</v>
      </c>
      <c r="D260" s="2" t="s">
        <v>129</v>
      </c>
      <c r="E260" s="3">
        <v>38000</v>
      </c>
      <c r="F260" s="3">
        <v>0</v>
      </c>
      <c r="G260" s="3">
        <v>0</v>
      </c>
      <c r="H260" s="3">
        <v>0</v>
      </c>
      <c r="I260" s="3">
        <v>0</v>
      </c>
      <c r="J260" s="3">
        <v>5000</v>
      </c>
      <c r="K260" s="3">
        <v>5000</v>
      </c>
      <c r="L260" s="4">
        <v>6600</v>
      </c>
      <c r="M260" s="5">
        <v>46143</v>
      </c>
      <c r="N260" s="3">
        <f t="shared" si="4"/>
        <v>0</v>
      </c>
      <c r="Q260" s="7">
        <f>Q256-Q258</f>
        <v>0</v>
      </c>
      <c r="R260" s="7">
        <f>R256-R258</f>
        <v>0</v>
      </c>
      <c r="S260" s="7">
        <f>S256-S258</f>
        <v>0</v>
      </c>
    </row>
    <row r="261" spans="1:19">
      <c r="A261" s="1">
        <v>7</v>
      </c>
      <c r="B261" s="2" t="s">
        <v>101</v>
      </c>
      <c r="C261" s="2" t="s">
        <v>133</v>
      </c>
      <c r="D261" s="2" t="s">
        <v>134</v>
      </c>
      <c r="E261" s="3">
        <v>18000</v>
      </c>
      <c r="F261" s="3">
        <v>1440</v>
      </c>
      <c r="G261" s="3">
        <v>360</v>
      </c>
      <c r="H261" s="3">
        <v>36</v>
      </c>
      <c r="I261" s="3">
        <v>1080</v>
      </c>
      <c r="J261" s="3">
        <v>5000</v>
      </c>
      <c r="K261" s="3">
        <v>7916</v>
      </c>
      <c r="L261" s="4">
        <v>1008.4</v>
      </c>
      <c r="M261" s="5">
        <v>46143</v>
      </c>
      <c r="N261" s="3">
        <f t="shared" si="4"/>
        <v>0</v>
      </c>
    </row>
    <row r="262" spans="1:19">
      <c r="A262" s="1">
        <v>8</v>
      </c>
      <c r="B262" s="2" t="s">
        <v>101</v>
      </c>
      <c r="C262" s="2" t="s">
        <v>138</v>
      </c>
      <c r="D262" s="2" t="s">
        <v>139</v>
      </c>
      <c r="E262" s="3">
        <v>30000</v>
      </c>
      <c r="F262" s="3">
        <v>2203.92</v>
      </c>
      <c r="G262" s="3">
        <v>600</v>
      </c>
      <c r="H262" s="3">
        <v>60</v>
      </c>
      <c r="I262" s="3">
        <v>1800</v>
      </c>
      <c r="J262" s="3">
        <v>5000</v>
      </c>
      <c r="K262" s="3">
        <v>9663.92</v>
      </c>
      <c r="L262" s="4">
        <v>2033.61</v>
      </c>
      <c r="M262" s="5">
        <v>46143</v>
      </c>
      <c r="N262" s="3">
        <f t="shared" si="4"/>
        <v>0</v>
      </c>
    </row>
    <row r="263" spans="1:19">
      <c r="A263" s="1">
        <v>9</v>
      </c>
      <c r="B263" s="2" t="s">
        <v>101</v>
      </c>
      <c r="C263" s="2" t="s">
        <v>904</v>
      </c>
      <c r="D263" s="2" t="s">
        <v>905</v>
      </c>
      <c r="E263" s="3">
        <v>32000</v>
      </c>
      <c r="F263" s="3">
        <v>2203.92</v>
      </c>
      <c r="G263" s="3">
        <v>640</v>
      </c>
      <c r="H263" s="3">
        <v>64</v>
      </c>
      <c r="I263" s="3">
        <v>1920</v>
      </c>
      <c r="J263" s="3">
        <v>5000</v>
      </c>
      <c r="K263" s="3">
        <v>9827.92</v>
      </c>
      <c r="L263" s="4">
        <v>2217.21</v>
      </c>
      <c r="M263" s="5">
        <v>46143</v>
      </c>
      <c r="N263" s="3">
        <f t="shared" si="4"/>
        <v>0</v>
      </c>
    </row>
    <row r="264" spans="1:19">
      <c r="A264" s="1">
        <v>10</v>
      </c>
      <c r="B264" s="2" t="s">
        <v>101</v>
      </c>
      <c r="C264" s="2" t="s">
        <v>142</v>
      </c>
      <c r="D264" s="2" t="s">
        <v>143</v>
      </c>
      <c r="E264" s="3">
        <v>30000</v>
      </c>
      <c r="F264" s="3">
        <v>2203.92</v>
      </c>
      <c r="G264" s="3">
        <v>600</v>
      </c>
      <c r="H264" s="3">
        <v>60</v>
      </c>
      <c r="I264" s="3">
        <v>1800</v>
      </c>
      <c r="J264" s="3">
        <v>5000</v>
      </c>
      <c r="K264" s="3">
        <v>9663.92</v>
      </c>
      <c r="L264" s="4">
        <v>2033.61</v>
      </c>
      <c r="M264" s="5">
        <v>46143</v>
      </c>
      <c r="N264" s="3">
        <f t="shared" si="4"/>
        <v>0</v>
      </c>
    </row>
    <row r="265" spans="1:19">
      <c r="A265" s="1">
        <v>11</v>
      </c>
      <c r="B265" s="2" t="s">
        <v>101</v>
      </c>
      <c r="C265" s="2" t="s">
        <v>146</v>
      </c>
      <c r="D265" s="2" t="s">
        <v>147</v>
      </c>
      <c r="E265" s="3">
        <v>20000</v>
      </c>
      <c r="F265" s="3">
        <v>1600</v>
      </c>
      <c r="G265" s="3">
        <v>400</v>
      </c>
      <c r="H265" s="3">
        <v>40</v>
      </c>
      <c r="I265" s="3">
        <v>1200</v>
      </c>
      <c r="J265" s="3">
        <v>5000</v>
      </c>
      <c r="K265" s="3">
        <v>8240</v>
      </c>
      <c r="L265" s="4">
        <v>1176</v>
      </c>
      <c r="M265" s="5">
        <v>46143</v>
      </c>
      <c r="N265" s="3">
        <f t="shared" si="4"/>
        <v>0</v>
      </c>
    </row>
    <row r="266" spans="1:19">
      <c r="A266" s="1">
        <v>12</v>
      </c>
      <c r="B266" s="2" t="s">
        <v>101</v>
      </c>
      <c r="C266" s="2" t="s">
        <v>151</v>
      </c>
      <c r="D266" s="2" t="s">
        <v>152</v>
      </c>
      <c r="E266" s="3">
        <v>25000</v>
      </c>
      <c r="F266" s="3">
        <v>2000</v>
      </c>
      <c r="G266" s="3">
        <v>500</v>
      </c>
      <c r="H266" s="3">
        <v>50</v>
      </c>
      <c r="I266" s="3">
        <v>1500</v>
      </c>
      <c r="J266" s="3">
        <v>5000</v>
      </c>
      <c r="K266" s="3">
        <v>9050</v>
      </c>
      <c r="L266" s="4">
        <v>1595</v>
      </c>
      <c r="M266" s="5">
        <v>46143</v>
      </c>
      <c r="N266" s="3">
        <f t="shared" si="4"/>
        <v>0</v>
      </c>
    </row>
    <row r="267" spans="1:19">
      <c r="A267" s="1">
        <v>13</v>
      </c>
      <c r="B267" s="2" t="s">
        <v>101</v>
      </c>
      <c r="C267" s="2" t="s">
        <v>155</v>
      </c>
      <c r="D267" s="2" t="s">
        <v>156</v>
      </c>
      <c r="E267" s="3">
        <v>23000</v>
      </c>
      <c r="F267" s="3">
        <v>1840</v>
      </c>
      <c r="G267" s="3">
        <v>460</v>
      </c>
      <c r="H267" s="3">
        <v>46</v>
      </c>
      <c r="I267" s="3">
        <v>1380</v>
      </c>
      <c r="J267" s="3">
        <v>5000</v>
      </c>
      <c r="K267" s="3">
        <v>8726</v>
      </c>
      <c r="L267" s="4">
        <v>1427.4</v>
      </c>
      <c r="M267" s="5">
        <v>46143</v>
      </c>
      <c r="N267" s="3">
        <f t="shared" si="4"/>
        <v>0</v>
      </c>
    </row>
    <row r="268" spans="1:19">
      <c r="A268" s="1">
        <v>14</v>
      </c>
      <c r="B268" s="2" t="s">
        <v>101</v>
      </c>
      <c r="C268" s="2" t="s">
        <v>160</v>
      </c>
      <c r="D268" s="2" t="s">
        <v>161</v>
      </c>
      <c r="E268" s="3">
        <v>21000</v>
      </c>
      <c r="F268" s="3">
        <v>1760</v>
      </c>
      <c r="G268" s="3">
        <v>440</v>
      </c>
      <c r="H268" s="3">
        <v>44</v>
      </c>
      <c r="I268" s="3">
        <v>1200</v>
      </c>
      <c r="J268" s="3">
        <v>5000</v>
      </c>
      <c r="K268" s="3">
        <v>8444</v>
      </c>
      <c r="L268" s="4">
        <v>692.6</v>
      </c>
      <c r="M268" s="5">
        <v>46143</v>
      </c>
      <c r="N268" s="3">
        <f t="shared" si="4"/>
        <v>0</v>
      </c>
    </row>
    <row r="269" spans="1:19">
      <c r="A269" s="1">
        <v>15</v>
      </c>
      <c r="B269" s="2" t="s">
        <v>101</v>
      </c>
      <c r="C269" s="2" t="s">
        <v>165</v>
      </c>
      <c r="D269" s="2" t="s">
        <v>166</v>
      </c>
      <c r="E269" s="3">
        <v>24200</v>
      </c>
      <c r="F269" s="3">
        <v>2080</v>
      </c>
      <c r="G269" s="3">
        <v>520</v>
      </c>
      <c r="H269" s="3">
        <v>52</v>
      </c>
      <c r="I269" s="3">
        <v>1320</v>
      </c>
      <c r="J269" s="3">
        <v>5000</v>
      </c>
      <c r="K269" s="3">
        <v>8972</v>
      </c>
      <c r="L269" s="4">
        <v>1522.8</v>
      </c>
      <c r="M269" s="5">
        <v>46143</v>
      </c>
      <c r="N269" s="3">
        <f t="shared" si="4"/>
        <v>0</v>
      </c>
    </row>
    <row r="270" spans="1:19">
      <c r="A270" s="1">
        <v>16</v>
      </c>
      <c r="B270" s="2" t="s">
        <v>101</v>
      </c>
      <c r="C270" s="2" t="s">
        <v>170</v>
      </c>
      <c r="D270" s="2" t="s">
        <v>171</v>
      </c>
      <c r="E270" s="3">
        <v>16000</v>
      </c>
      <c r="F270" s="3">
        <v>1360</v>
      </c>
      <c r="G270" s="3">
        <v>340</v>
      </c>
      <c r="H270" s="3">
        <v>34</v>
      </c>
      <c r="I270" s="3">
        <v>900</v>
      </c>
      <c r="J270" s="3">
        <v>5000</v>
      </c>
      <c r="K270" s="3">
        <v>7634</v>
      </c>
      <c r="L270" s="4">
        <v>836.6</v>
      </c>
      <c r="M270" s="5">
        <v>46143</v>
      </c>
      <c r="N270" s="3">
        <f t="shared" si="4"/>
        <v>0</v>
      </c>
    </row>
    <row r="271" spans="1:19">
      <c r="A271" s="1">
        <v>17</v>
      </c>
      <c r="B271" s="2" t="s">
        <v>101</v>
      </c>
      <c r="C271" s="2" t="s">
        <v>175</v>
      </c>
      <c r="D271" s="2" t="s">
        <v>176</v>
      </c>
      <c r="E271" s="3">
        <v>27000</v>
      </c>
      <c r="F271" s="3">
        <v>2320</v>
      </c>
      <c r="G271" s="3">
        <v>580</v>
      </c>
      <c r="H271" s="3">
        <v>58</v>
      </c>
      <c r="I271" s="3">
        <v>1500</v>
      </c>
      <c r="J271" s="3">
        <v>5000</v>
      </c>
      <c r="K271" s="3">
        <v>9458</v>
      </c>
      <c r="L271" s="4">
        <v>1754.2</v>
      </c>
      <c r="M271" s="5">
        <v>46143</v>
      </c>
      <c r="N271" s="3">
        <f t="shared" si="4"/>
        <v>0</v>
      </c>
    </row>
    <row r="272" spans="1:19">
      <c r="A272" s="1">
        <v>18</v>
      </c>
      <c r="B272" s="2" t="s">
        <v>101</v>
      </c>
      <c r="C272" s="2" t="s">
        <v>180</v>
      </c>
      <c r="D272" s="2" t="s">
        <v>181</v>
      </c>
      <c r="E272" s="3">
        <v>14000</v>
      </c>
      <c r="F272" s="3">
        <v>1200</v>
      </c>
      <c r="G272" s="3">
        <v>300</v>
      </c>
      <c r="H272" s="3">
        <v>30</v>
      </c>
      <c r="I272" s="3">
        <v>780</v>
      </c>
      <c r="J272" s="3">
        <v>5000</v>
      </c>
      <c r="K272" s="3">
        <v>7310</v>
      </c>
      <c r="L272" s="4">
        <v>155.7</v>
      </c>
      <c r="M272" s="5">
        <v>46143</v>
      </c>
      <c r="N272" s="3">
        <f t="shared" si="4"/>
        <v>0</v>
      </c>
    </row>
    <row r="273" spans="1:14">
      <c r="A273" s="1">
        <v>19</v>
      </c>
      <c r="B273" s="2" t="s">
        <v>101</v>
      </c>
      <c r="C273" s="2" t="s">
        <v>185</v>
      </c>
      <c r="D273" s="2" t="s">
        <v>186</v>
      </c>
      <c r="E273" s="3">
        <v>50000</v>
      </c>
      <c r="F273" s="3">
        <v>2203.92</v>
      </c>
      <c r="G273" s="3">
        <v>672.66</v>
      </c>
      <c r="H273" s="3">
        <v>88.53</v>
      </c>
      <c r="I273" s="3">
        <v>2655.9</v>
      </c>
      <c r="J273" s="3">
        <v>5000</v>
      </c>
      <c r="K273" s="3">
        <v>10621.01</v>
      </c>
      <c r="L273" s="4">
        <v>6575.8</v>
      </c>
      <c r="M273" s="5">
        <v>46143</v>
      </c>
      <c r="N273" s="3">
        <f t="shared" si="4"/>
        <v>0</v>
      </c>
    </row>
    <row r="274" spans="1:14">
      <c r="A274" s="1">
        <v>20</v>
      </c>
      <c r="B274" s="2" t="s">
        <v>101</v>
      </c>
      <c r="C274" s="2" t="s">
        <v>190</v>
      </c>
      <c r="D274" s="2" t="s">
        <v>191</v>
      </c>
      <c r="E274" s="3">
        <v>14200</v>
      </c>
      <c r="F274" s="3">
        <v>1120</v>
      </c>
      <c r="G274" s="3">
        <v>280</v>
      </c>
      <c r="H274" s="3">
        <v>28</v>
      </c>
      <c r="I274" s="3">
        <v>840</v>
      </c>
      <c r="J274" s="3">
        <v>5000</v>
      </c>
      <c r="K274" s="3">
        <v>7268</v>
      </c>
      <c r="L274" s="4">
        <v>536.4</v>
      </c>
      <c r="M274" s="5">
        <v>46143</v>
      </c>
      <c r="N274" s="3">
        <f t="shared" si="4"/>
        <v>0</v>
      </c>
    </row>
    <row r="275" spans="1:14">
      <c r="A275" s="1">
        <v>21</v>
      </c>
      <c r="B275" s="2" t="s">
        <v>101</v>
      </c>
      <c r="C275" s="2" t="s">
        <v>195</v>
      </c>
      <c r="D275" s="2" t="s">
        <v>196</v>
      </c>
      <c r="E275" s="3">
        <v>18000</v>
      </c>
      <c r="F275" s="3">
        <v>1440</v>
      </c>
      <c r="G275" s="3">
        <v>360</v>
      </c>
      <c r="H275" s="3">
        <v>36</v>
      </c>
      <c r="I275" s="3">
        <v>1080</v>
      </c>
      <c r="J275" s="3">
        <v>5000</v>
      </c>
      <c r="K275" s="3">
        <v>7916</v>
      </c>
      <c r="L275" s="4">
        <v>1008.4</v>
      </c>
      <c r="M275" s="5">
        <v>46143</v>
      </c>
      <c r="N275" s="3">
        <f t="shared" si="4"/>
        <v>0</v>
      </c>
    </row>
    <row r="276" spans="1:14">
      <c r="A276" s="1">
        <v>22</v>
      </c>
      <c r="B276" s="2" t="s">
        <v>101</v>
      </c>
      <c r="C276" s="2" t="s">
        <v>200</v>
      </c>
      <c r="D276" s="2" t="s">
        <v>201</v>
      </c>
      <c r="E276" s="3">
        <v>14000</v>
      </c>
      <c r="F276" s="3">
        <v>1120</v>
      </c>
      <c r="G276" s="3">
        <v>280</v>
      </c>
      <c r="H276" s="3">
        <v>28</v>
      </c>
      <c r="I276" s="3">
        <v>840</v>
      </c>
      <c r="J276" s="3">
        <v>5000</v>
      </c>
      <c r="K276" s="3">
        <v>7268</v>
      </c>
      <c r="L276" s="4">
        <v>309.14</v>
      </c>
      <c r="M276" s="5">
        <v>46143</v>
      </c>
      <c r="N276" s="3">
        <f t="shared" si="4"/>
        <v>0</v>
      </c>
    </row>
    <row r="277" spans="1:14">
      <c r="A277" s="1">
        <v>23</v>
      </c>
      <c r="B277" s="2" t="s">
        <v>101</v>
      </c>
      <c r="C277" s="2" t="s">
        <v>204</v>
      </c>
      <c r="D277" s="2" t="s">
        <v>205</v>
      </c>
      <c r="E277" s="3">
        <v>36300</v>
      </c>
      <c r="F277" s="3">
        <v>2203.92</v>
      </c>
      <c r="G277" s="3">
        <v>685.32</v>
      </c>
      <c r="H277" s="3">
        <v>79.2</v>
      </c>
      <c r="I277" s="3">
        <v>1980</v>
      </c>
      <c r="J277" s="3">
        <v>5000</v>
      </c>
      <c r="K277" s="3">
        <v>9948.44</v>
      </c>
      <c r="L277" s="4">
        <v>2755.35</v>
      </c>
      <c r="M277" s="5">
        <v>46143</v>
      </c>
      <c r="N277" s="3">
        <f t="shared" si="4"/>
        <v>0</v>
      </c>
    </row>
    <row r="278" spans="1:14">
      <c r="A278" s="1">
        <v>24</v>
      </c>
      <c r="B278" s="2" t="s">
        <v>101</v>
      </c>
      <c r="C278" s="2" t="s">
        <v>209</v>
      </c>
      <c r="D278" s="2" t="s">
        <v>210</v>
      </c>
      <c r="E278" s="3">
        <v>19000</v>
      </c>
      <c r="F278" s="3">
        <v>1520</v>
      </c>
      <c r="G278" s="3">
        <v>380</v>
      </c>
      <c r="H278" s="3">
        <v>38</v>
      </c>
      <c r="I278" s="3">
        <v>1140</v>
      </c>
      <c r="J278" s="3">
        <v>5000</v>
      </c>
      <c r="K278" s="3">
        <v>8078</v>
      </c>
      <c r="L278" s="4">
        <v>1092.2</v>
      </c>
      <c r="M278" s="5">
        <v>46143</v>
      </c>
      <c r="N278" s="3">
        <f t="shared" si="4"/>
        <v>0</v>
      </c>
    </row>
    <row r="279" spans="1:14">
      <c r="A279" s="1">
        <v>25</v>
      </c>
      <c r="B279" s="2" t="s">
        <v>101</v>
      </c>
      <c r="C279" s="2" t="s">
        <v>214</v>
      </c>
      <c r="D279" s="2" t="s">
        <v>215</v>
      </c>
      <c r="E279" s="3">
        <v>20000</v>
      </c>
      <c r="F279" s="3">
        <v>1600</v>
      </c>
      <c r="G279" s="3">
        <v>400</v>
      </c>
      <c r="H279" s="3">
        <v>40</v>
      </c>
      <c r="I279" s="3">
        <v>1200</v>
      </c>
      <c r="J279" s="3">
        <v>5000</v>
      </c>
      <c r="K279" s="3">
        <v>8240</v>
      </c>
      <c r="L279" s="4">
        <v>1176</v>
      </c>
      <c r="M279" s="5">
        <v>46143</v>
      </c>
      <c r="N279" s="3">
        <f t="shared" si="4"/>
        <v>0</v>
      </c>
    </row>
    <row r="280" spans="1:14">
      <c r="A280" s="1">
        <v>26</v>
      </c>
      <c r="B280" s="2" t="s">
        <v>101</v>
      </c>
      <c r="C280" s="2" t="s">
        <v>218</v>
      </c>
      <c r="D280" s="2" t="s">
        <v>219</v>
      </c>
      <c r="E280" s="3">
        <v>30000</v>
      </c>
      <c r="F280" s="3">
        <v>2203.92</v>
      </c>
      <c r="G280" s="3">
        <v>600</v>
      </c>
      <c r="H280" s="3">
        <v>60</v>
      </c>
      <c r="I280" s="3">
        <v>1800</v>
      </c>
      <c r="J280" s="3">
        <v>5000</v>
      </c>
      <c r="K280" s="3">
        <v>9663.92</v>
      </c>
      <c r="L280" s="4">
        <v>2033.61</v>
      </c>
      <c r="M280" s="5">
        <v>46143</v>
      </c>
      <c r="N280" s="3">
        <f t="shared" si="4"/>
        <v>0</v>
      </c>
    </row>
    <row r="281" spans="1:14">
      <c r="A281" s="1">
        <v>27</v>
      </c>
      <c r="B281" s="2" t="s">
        <v>101</v>
      </c>
      <c r="C281" s="2" t="s">
        <v>223</v>
      </c>
      <c r="D281" s="2" t="s">
        <v>224</v>
      </c>
      <c r="E281" s="3">
        <v>20000</v>
      </c>
      <c r="F281" s="3">
        <v>1600</v>
      </c>
      <c r="G281" s="3">
        <v>400</v>
      </c>
      <c r="H281" s="3">
        <v>40</v>
      </c>
      <c r="I281" s="3">
        <v>1200</v>
      </c>
      <c r="J281" s="3">
        <v>5000</v>
      </c>
      <c r="K281" s="3">
        <v>8240</v>
      </c>
      <c r="L281" s="4">
        <v>1076</v>
      </c>
      <c r="M281" s="5">
        <v>46143</v>
      </c>
      <c r="N281" s="3">
        <f t="shared" si="4"/>
        <v>0</v>
      </c>
    </row>
    <row r="282" spans="1:14">
      <c r="A282" s="1">
        <v>28</v>
      </c>
      <c r="B282" s="2" t="s">
        <v>101</v>
      </c>
      <c r="C282" s="2" t="s">
        <v>228</v>
      </c>
      <c r="D282" s="2" t="s">
        <v>229</v>
      </c>
      <c r="E282" s="3">
        <v>25000</v>
      </c>
      <c r="F282" s="3">
        <v>2000</v>
      </c>
      <c r="G282" s="3">
        <v>500</v>
      </c>
      <c r="H282" s="3">
        <v>50</v>
      </c>
      <c r="I282" s="3">
        <v>1500</v>
      </c>
      <c r="J282" s="3">
        <v>5000</v>
      </c>
      <c r="K282" s="3">
        <v>9050</v>
      </c>
      <c r="L282" s="4">
        <v>1595</v>
      </c>
      <c r="M282" s="5">
        <v>46143</v>
      </c>
      <c r="N282" s="3">
        <f t="shared" si="4"/>
        <v>0</v>
      </c>
    </row>
    <row r="283" spans="1:14">
      <c r="A283" s="1">
        <v>29</v>
      </c>
      <c r="B283" s="2" t="s">
        <v>101</v>
      </c>
      <c r="C283" s="2" t="s">
        <v>233</v>
      </c>
      <c r="D283" s="2" t="s">
        <v>234</v>
      </c>
      <c r="E283" s="3">
        <v>36000</v>
      </c>
      <c r="F283" s="3">
        <v>2203.92</v>
      </c>
      <c r="G283" s="3">
        <v>672.66</v>
      </c>
      <c r="H283" s="3">
        <v>72</v>
      </c>
      <c r="I283" s="3">
        <v>2160</v>
      </c>
      <c r="J283" s="3">
        <v>5000</v>
      </c>
      <c r="K283" s="3">
        <v>10108.58</v>
      </c>
      <c r="L283" s="4">
        <v>3651.16</v>
      </c>
      <c r="M283" s="5">
        <v>46143</v>
      </c>
      <c r="N283" s="3">
        <f t="shared" si="4"/>
        <v>0</v>
      </c>
    </row>
    <row r="284" spans="1:14">
      <c r="A284" s="1">
        <v>30</v>
      </c>
      <c r="B284" s="2" t="s">
        <v>101</v>
      </c>
      <c r="C284" s="2" t="s">
        <v>238</v>
      </c>
      <c r="D284" s="2" t="s">
        <v>239</v>
      </c>
      <c r="E284" s="3">
        <v>20200</v>
      </c>
      <c r="F284" s="3">
        <v>1600</v>
      </c>
      <c r="G284" s="3">
        <v>400</v>
      </c>
      <c r="H284" s="3">
        <v>40</v>
      </c>
      <c r="I284" s="3">
        <v>1200</v>
      </c>
      <c r="J284" s="3">
        <v>5000</v>
      </c>
      <c r="K284" s="3">
        <v>8240</v>
      </c>
      <c r="L284" s="4">
        <v>1196</v>
      </c>
      <c r="M284" s="5">
        <v>46143</v>
      </c>
      <c r="N284" s="3">
        <f t="shared" si="4"/>
        <v>0</v>
      </c>
    </row>
    <row r="285" spans="1:14">
      <c r="A285" s="1">
        <v>31</v>
      </c>
      <c r="B285" s="2" t="s">
        <v>101</v>
      </c>
      <c r="C285" s="2" t="s">
        <v>242</v>
      </c>
      <c r="D285" s="2" t="s">
        <v>243</v>
      </c>
      <c r="E285" s="3">
        <v>24500</v>
      </c>
      <c r="F285" s="3">
        <v>2080</v>
      </c>
      <c r="G285" s="3">
        <v>520</v>
      </c>
      <c r="H285" s="3">
        <v>52</v>
      </c>
      <c r="I285" s="3">
        <v>1380</v>
      </c>
      <c r="J285" s="3">
        <v>5000</v>
      </c>
      <c r="K285" s="3">
        <v>9032</v>
      </c>
      <c r="L285" s="4">
        <v>1546.8</v>
      </c>
      <c r="M285" s="5">
        <v>46143</v>
      </c>
      <c r="N285" s="3">
        <f t="shared" si="4"/>
        <v>0</v>
      </c>
    </row>
    <row r="286" spans="1:14">
      <c r="A286" s="1">
        <v>32</v>
      </c>
      <c r="B286" s="2" t="s">
        <v>101</v>
      </c>
      <c r="C286" s="2" t="s">
        <v>247</v>
      </c>
      <c r="D286" s="2" t="s">
        <v>248</v>
      </c>
      <c r="E286" s="3">
        <v>9200</v>
      </c>
      <c r="F286" s="3">
        <v>800</v>
      </c>
      <c r="G286" s="3">
        <v>200</v>
      </c>
      <c r="H286" s="3">
        <v>20</v>
      </c>
      <c r="I286" s="3">
        <v>480</v>
      </c>
      <c r="J286" s="3">
        <v>5000</v>
      </c>
      <c r="K286" s="3">
        <v>6500</v>
      </c>
      <c r="L286" s="4">
        <v>36</v>
      </c>
      <c r="M286" s="5">
        <v>46143</v>
      </c>
      <c r="N286" s="3">
        <f t="shared" si="4"/>
        <v>0</v>
      </c>
    </row>
    <row r="287" spans="1:14">
      <c r="A287" s="1">
        <v>33</v>
      </c>
      <c r="B287" s="2" t="s">
        <v>101</v>
      </c>
      <c r="C287" s="2" t="s">
        <v>252</v>
      </c>
      <c r="D287" s="2" t="s">
        <v>253</v>
      </c>
      <c r="E287" s="3">
        <v>20000</v>
      </c>
      <c r="F287" s="3">
        <v>1680</v>
      </c>
      <c r="G287" s="3">
        <v>420</v>
      </c>
      <c r="H287" s="3">
        <v>42</v>
      </c>
      <c r="I287" s="3">
        <v>1140</v>
      </c>
      <c r="J287" s="3">
        <v>5000</v>
      </c>
      <c r="K287" s="3">
        <v>8282</v>
      </c>
      <c r="L287" s="4">
        <v>1171.8</v>
      </c>
      <c r="M287" s="5">
        <v>46143</v>
      </c>
      <c r="N287" s="3">
        <f t="shared" si="4"/>
        <v>0</v>
      </c>
    </row>
    <row r="288" spans="1:14">
      <c r="A288" s="1">
        <v>34</v>
      </c>
      <c r="B288" s="2" t="s">
        <v>101</v>
      </c>
      <c r="C288" s="2" t="s">
        <v>257</v>
      </c>
      <c r="D288" s="2" t="s">
        <v>258</v>
      </c>
      <c r="E288" s="3">
        <v>33000</v>
      </c>
      <c r="F288" s="3">
        <v>2203.92</v>
      </c>
      <c r="G288" s="3">
        <v>720</v>
      </c>
      <c r="H288" s="3">
        <v>72</v>
      </c>
      <c r="I288" s="3">
        <v>1800</v>
      </c>
      <c r="J288" s="3">
        <v>5000</v>
      </c>
      <c r="K288" s="3">
        <v>9795.92</v>
      </c>
      <c r="L288" s="4">
        <v>2320.41</v>
      </c>
      <c r="M288" s="5">
        <v>46143</v>
      </c>
      <c r="N288" s="3">
        <f t="shared" si="4"/>
        <v>0</v>
      </c>
    </row>
    <row r="289" spans="1:14">
      <c r="A289" s="1">
        <v>35</v>
      </c>
      <c r="B289" s="2" t="s">
        <v>101</v>
      </c>
      <c r="C289" s="2" t="s">
        <v>262</v>
      </c>
      <c r="D289" s="2" t="s">
        <v>263</v>
      </c>
      <c r="E289" s="3">
        <v>45000</v>
      </c>
      <c r="F289" s="3">
        <v>2203.92</v>
      </c>
      <c r="G289" s="3">
        <v>672.66</v>
      </c>
      <c r="H289" s="3">
        <v>88.53</v>
      </c>
      <c r="I289" s="3">
        <v>2655.9</v>
      </c>
      <c r="J289" s="3">
        <v>5000</v>
      </c>
      <c r="K289" s="3">
        <v>10621.01</v>
      </c>
      <c r="L289" s="4">
        <v>6875.8</v>
      </c>
      <c r="M289" s="5">
        <v>46143</v>
      </c>
      <c r="N289" s="3">
        <f t="shared" si="4"/>
        <v>0</v>
      </c>
    </row>
    <row r="290" spans="1:14">
      <c r="A290" s="1">
        <v>36</v>
      </c>
      <c r="B290" s="2" t="s">
        <v>101</v>
      </c>
      <c r="C290" s="2" t="s">
        <v>267</v>
      </c>
      <c r="D290" s="2" t="s">
        <v>268</v>
      </c>
      <c r="E290" s="3">
        <v>21200</v>
      </c>
      <c r="F290" s="3">
        <v>1680</v>
      </c>
      <c r="G290" s="3">
        <v>420</v>
      </c>
      <c r="H290" s="3">
        <v>42</v>
      </c>
      <c r="I290" s="3">
        <v>1260</v>
      </c>
      <c r="J290" s="3">
        <v>5000</v>
      </c>
      <c r="K290" s="3">
        <v>8402</v>
      </c>
      <c r="L290" s="4">
        <v>1279.8</v>
      </c>
      <c r="M290" s="5">
        <v>46143</v>
      </c>
      <c r="N290" s="3">
        <f t="shared" si="4"/>
        <v>0</v>
      </c>
    </row>
    <row r="291" spans="1:14">
      <c r="A291" s="1">
        <v>37</v>
      </c>
      <c r="B291" s="2" t="s">
        <v>101</v>
      </c>
      <c r="C291" s="2" t="s">
        <v>272</v>
      </c>
      <c r="D291" s="2" t="s">
        <v>273</v>
      </c>
      <c r="E291" s="3">
        <v>35000</v>
      </c>
      <c r="F291" s="3">
        <v>2203.92</v>
      </c>
      <c r="G291" s="3">
        <v>672.66</v>
      </c>
      <c r="H291" s="3">
        <v>70</v>
      </c>
      <c r="I291" s="3">
        <v>2100</v>
      </c>
      <c r="J291" s="3">
        <v>5000</v>
      </c>
      <c r="K291" s="3">
        <v>10046.58</v>
      </c>
      <c r="L291" s="4">
        <v>2495.34</v>
      </c>
      <c r="M291" s="5">
        <v>46143</v>
      </c>
      <c r="N291" s="3">
        <f t="shared" si="4"/>
        <v>0</v>
      </c>
    </row>
    <row r="292" spans="1:14">
      <c r="A292" s="1">
        <v>38</v>
      </c>
      <c r="B292" s="2" t="s">
        <v>101</v>
      </c>
      <c r="C292" s="2" t="s">
        <v>277</v>
      </c>
      <c r="D292" s="2" t="s">
        <v>278</v>
      </c>
      <c r="E292" s="3">
        <v>26500</v>
      </c>
      <c r="F292" s="3">
        <v>2120</v>
      </c>
      <c r="G292" s="3">
        <v>530</v>
      </c>
      <c r="H292" s="3">
        <v>53</v>
      </c>
      <c r="I292" s="3">
        <v>1590</v>
      </c>
      <c r="J292" s="3">
        <v>5000</v>
      </c>
      <c r="K292" s="3">
        <v>9293</v>
      </c>
      <c r="L292" s="4">
        <v>1720.7</v>
      </c>
      <c r="M292" s="5">
        <v>46143</v>
      </c>
      <c r="N292" s="3">
        <f t="shared" si="4"/>
        <v>0</v>
      </c>
    </row>
    <row r="293" spans="1:14">
      <c r="A293" s="1">
        <v>39</v>
      </c>
      <c r="B293" s="2" t="s">
        <v>101</v>
      </c>
      <c r="C293" s="2" t="s">
        <v>282</v>
      </c>
      <c r="D293" s="2" t="s">
        <v>283</v>
      </c>
      <c r="E293" s="3">
        <v>16000</v>
      </c>
      <c r="F293" s="3">
        <v>1280</v>
      </c>
      <c r="G293" s="3">
        <v>320</v>
      </c>
      <c r="H293" s="3">
        <v>32</v>
      </c>
      <c r="I293" s="3">
        <v>960</v>
      </c>
      <c r="J293" s="3">
        <v>5000</v>
      </c>
      <c r="K293" s="3">
        <v>7592</v>
      </c>
      <c r="L293" s="4">
        <v>821.15</v>
      </c>
      <c r="M293" s="5">
        <v>46143</v>
      </c>
      <c r="N293" s="3">
        <f t="shared" si="4"/>
        <v>0</v>
      </c>
    </row>
    <row r="294" spans="1:14">
      <c r="A294" s="1">
        <v>40</v>
      </c>
      <c r="B294" s="2" t="s">
        <v>101</v>
      </c>
      <c r="C294" s="2" t="s">
        <v>920</v>
      </c>
      <c r="D294" s="2" t="s">
        <v>921</v>
      </c>
      <c r="E294" s="3">
        <v>13356.32</v>
      </c>
      <c r="F294" s="3">
        <v>1120</v>
      </c>
      <c r="G294" s="3">
        <v>280</v>
      </c>
      <c r="H294" s="3">
        <v>28</v>
      </c>
      <c r="I294" s="3">
        <v>840</v>
      </c>
      <c r="J294" s="3">
        <v>5000</v>
      </c>
      <c r="K294" s="3">
        <v>7268</v>
      </c>
      <c r="L294" s="4">
        <v>182.65</v>
      </c>
      <c r="M294" s="5">
        <v>46143</v>
      </c>
      <c r="N294" s="3">
        <f t="shared" si="4"/>
        <v>0</v>
      </c>
    </row>
    <row r="295" spans="1:14">
      <c r="A295" s="1">
        <v>41</v>
      </c>
      <c r="B295" s="2" t="s">
        <v>101</v>
      </c>
      <c r="C295" s="2" t="s">
        <v>287</v>
      </c>
      <c r="D295" s="2" t="s">
        <v>288</v>
      </c>
      <c r="E295" s="3">
        <v>13000</v>
      </c>
      <c r="F295" s="3">
        <v>1040</v>
      </c>
      <c r="G295" s="3">
        <v>260</v>
      </c>
      <c r="H295" s="3">
        <v>26</v>
      </c>
      <c r="I295" s="3">
        <v>780</v>
      </c>
      <c r="J295" s="3">
        <v>5000</v>
      </c>
      <c r="K295" s="3">
        <v>7106</v>
      </c>
      <c r="L295" s="4">
        <v>176.82</v>
      </c>
      <c r="M295" s="5">
        <v>46143</v>
      </c>
      <c r="N295" s="3">
        <f t="shared" si="4"/>
        <v>0</v>
      </c>
    </row>
    <row r="296" spans="1:14">
      <c r="A296" s="1">
        <v>42</v>
      </c>
      <c r="B296" s="2" t="s">
        <v>101</v>
      </c>
      <c r="C296" s="2" t="s">
        <v>292</v>
      </c>
      <c r="D296" s="2" t="s">
        <v>293</v>
      </c>
      <c r="E296" s="3">
        <v>8000</v>
      </c>
      <c r="F296" s="3">
        <v>640</v>
      </c>
      <c r="G296" s="3">
        <v>160</v>
      </c>
      <c r="H296" s="3">
        <v>16</v>
      </c>
      <c r="I296" s="3">
        <v>480</v>
      </c>
      <c r="J296" s="3">
        <v>5000</v>
      </c>
      <c r="K296" s="3">
        <v>6296</v>
      </c>
      <c r="L296" s="4">
        <v>51.12</v>
      </c>
      <c r="M296" s="5">
        <v>46143</v>
      </c>
      <c r="N296" s="3">
        <f t="shared" si="4"/>
        <v>0</v>
      </c>
    </row>
    <row r="297" spans="1:14">
      <c r="A297" s="1">
        <v>43</v>
      </c>
      <c r="B297" s="2" t="s">
        <v>101</v>
      </c>
      <c r="C297" s="2" t="s">
        <v>296</v>
      </c>
      <c r="D297" s="2" t="s">
        <v>297</v>
      </c>
      <c r="E297" s="3">
        <v>14000</v>
      </c>
      <c r="F297" s="3">
        <v>1120</v>
      </c>
      <c r="G297" s="3">
        <v>280</v>
      </c>
      <c r="H297" s="3">
        <v>28</v>
      </c>
      <c r="I297" s="3">
        <v>840</v>
      </c>
      <c r="J297" s="3">
        <v>5000</v>
      </c>
      <c r="K297" s="3">
        <v>7268</v>
      </c>
      <c r="L297" s="4">
        <v>201.96</v>
      </c>
      <c r="M297" s="5">
        <v>46143</v>
      </c>
      <c r="N297" s="3">
        <f t="shared" si="4"/>
        <v>0</v>
      </c>
    </row>
    <row r="298" spans="1:14">
      <c r="A298" s="1">
        <v>44</v>
      </c>
      <c r="B298" s="2" t="s">
        <v>101</v>
      </c>
      <c r="C298" s="2" t="s">
        <v>301</v>
      </c>
      <c r="D298" s="2" t="s">
        <v>302</v>
      </c>
      <c r="E298" s="3">
        <v>15000</v>
      </c>
      <c r="F298" s="3">
        <v>1200</v>
      </c>
      <c r="G298" s="3">
        <v>300</v>
      </c>
      <c r="H298" s="3">
        <v>30</v>
      </c>
      <c r="I298" s="3">
        <v>900</v>
      </c>
      <c r="J298" s="3">
        <v>5000</v>
      </c>
      <c r="K298" s="3">
        <v>7430</v>
      </c>
      <c r="L298" s="4">
        <v>227.1</v>
      </c>
      <c r="M298" s="5">
        <v>46143</v>
      </c>
      <c r="N298" s="3">
        <f t="shared" si="4"/>
        <v>0</v>
      </c>
    </row>
    <row r="299" spans="1:14">
      <c r="A299" s="1">
        <v>45</v>
      </c>
      <c r="B299" s="2" t="s">
        <v>101</v>
      </c>
      <c r="C299" s="2" t="s">
        <v>922</v>
      </c>
      <c r="D299" s="2" t="s">
        <v>923</v>
      </c>
      <c r="E299" s="3">
        <v>11218.39</v>
      </c>
      <c r="F299" s="3">
        <v>1280</v>
      </c>
      <c r="G299" s="3">
        <v>320</v>
      </c>
      <c r="H299" s="3">
        <v>32</v>
      </c>
      <c r="I299" s="3">
        <v>960</v>
      </c>
      <c r="J299" s="3">
        <v>5000</v>
      </c>
      <c r="K299" s="3">
        <v>7592</v>
      </c>
      <c r="L299" s="4">
        <v>108.79</v>
      </c>
      <c r="M299" s="5">
        <v>46143</v>
      </c>
      <c r="N299" s="3">
        <f t="shared" si="4"/>
        <v>0</v>
      </c>
    </row>
    <row r="300" spans="1:14">
      <c r="A300" s="1">
        <v>46</v>
      </c>
      <c r="B300" s="2" t="s">
        <v>101</v>
      </c>
      <c r="C300" s="2" t="s">
        <v>306</v>
      </c>
      <c r="D300" s="2" t="s">
        <v>307</v>
      </c>
      <c r="E300" s="3">
        <v>35200</v>
      </c>
      <c r="F300" s="3">
        <v>2203.92</v>
      </c>
      <c r="G300" s="3">
        <v>672.66</v>
      </c>
      <c r="H300" s="3">
        <v>70</v>
      </c>
      <c r="I300" s="3">
        <v>2100</v>
      </c>
      <c r="J300" s="3">
        <v>5000</v>
      </c>
      <c r="K300" s="3">
        <v>10046.58</v>
      </c>
      <c r="L300" s="4">
        <v>2515.35</v>
      </c>
      <c r="M300" s="5">
        <v>46143</v>
      </c>
      <c r="N300" s="3">
        <f t="shared" si="4"/>
        <v>0</v>
      </c>
    </row>
    <row r="301" spans="1:14">
      <c r="A301" s="1">
        <v>47</v>
      </c>
      <c r="B301" s="2" t="s">
        <v>101</v>
      </c>
      <c r="C301" s="2" t="s">
        <v>924</v>
      </c>
      <c r="D301" s="2" t="s">
        <v>925</v>
      </c>
      <c r="E301" s="3">
        <v>4000</v>
      </c>
      <c r="F301" s="3">
        <v>0</v>
      </c>
      <c r="G301" s="3">
        <v>0</v>
      </c>
      <c r="H301" s="3">
        <v>0</v>
      </c>
      <c r="I301" s="3">
        <v>0</v>
      </c>
      <c r="J301" s="3">
        <v>5000</v>
      </c>
      <c r="K301" s="3">
        <v>5000</v>
      </c>
      <c r="L301" s="4">
        <v>0</v>
      </c>
      <c r="M301" s="5">
        <v>46143</v>
      </c>
      <c r="N301" s="3">
        <f t="shared" si="4"/>
        <v>0</v>
      </c>
    </row>
    <row r="302" spans="1:14">
      <c r="A302" s="1">
        <v>48</v>
      </c>
      <c r="B302" s="2" t="s">
        <v>101</v>
      </c>
      <c r="C302" s="2" t="s">
        <v>310</v>
      </c>
      <c r="D302" s="2" t="s">
        <v>311</v>
      </c>
      <c r="E302" s="3">
        <v>4000</v>
      </c>
      <c r="F302" s="3">
        <v>0</v>
      </c>
      <c r="G302" s="3">
        <v>0</v>
      </c>
      <c r="H302" s="3">
        <v>0</v>
      </c>
      <c r="I302" s="3">
        <v>0</v>
      </c>
      <c r="J302" s="3">
        <v>5000</v>
      </c>
      <c r="K302" s="3">
        <v>5000</v>
      </c>
      <c r="L302" s="4">
        <v>0</v>
      </c>
      <c r="M302" s="5">
        <v>46143</v>
      </c>
      <c r="N302" s="3">
        <f t="shared" si="4"/>
        <v>0</v>
      </c>
    </row>
    <row r="303" spans="1:14">
      <c r="A303" s="1">
        <v>49</v>
      </c>
      <c r="B303" s="2" t="s">
        <v>101</v>
      </c>
      <c r="C303" s="2" t="s">
        <v>316</v>
      </c>
      <c r="D303" s="2" t="s">
        <v>317</v>
      </c>
      <c r="E303" s="3">
        <v>26000</v>
      </c>
      <c r="F303" s="3">
        <v>2080</v>
      </c>
      <c r="G303" s="3">
        <v>520</v>
      </c>
      <c r="H303" s="3">
        <v>52</v>
      </c>
      <c r="I303" s="3">
        <v>1560</v>
      </c>
      <c r="J303" s="3">
        <v>5000</v>
      </c>
      <c r="K303" s="3">
        <v>9212</v>
      </c>
      <c r="L303" s="4">
        <v>503.64</v>
      </c>
      <c r="M303" s="5">
        <v>46143</v>
      </c>
      <c r="N303" s="3">
        <f t="shared" si="4"/>
        <v>0</v>
      </c>
    </row>
    <row r="304" spans="1:14">
      <c r="A304" s="1">
        <v>50</v>
      </c>
      <c r="B304" s="2" t="s">
        <v>101</v>
      </c>
      <c r="C304" s="2" t="s">
        <v>321</v>
      </c>
      <c r="D304" s="2" t="s">
        <v>322</v>
      </c>
      <c r="E304" s="3">
        <v>15000</v>
      </c>
      <c r="F304" s="3">
        <v>1200</v>
      </c>
      <c r="G304" s="3">
        <v>300</v>
      </c>
      <c r="H304" s="3">
        <v>30</v>
      </c>
      <c r="I304" s="3">
        <v>900</v>
      </c>
      <c r="J304" s="3">
        <v>5000</v>
      </c>
      <c r="K304" s="3">
        <v>7430</v>
      </c>
      <c r="L304" s="4">
        <v>227.1</v>
      </c>
      <c r="M304" s="5">
        <v>46143</v>
      </c>
      <c r="N304" s="3">
        <f t="shared" si="4"/>
        <v>0</v>
      </c>
    </row>
    <row r="305" spans="1:19">
      <c r="A305" s="1">
        <v>51</v>
      </c>
      <c r="B305" s="2" t="s">
        <v>101</v>
      </c>
      <c r="C305" s="2" t="s">
        <v>326</v>
      </c>
      <c r="D305" s="2" t="s">
        <v>327</v>
      </c>
      <c r="E305" s="3">
        <v>4000</v>
      </c>
      <c r="F305" s="3">
        <v>0</v>
      </c>
      <c r="G305" s="3">
        <v>0</v>
      </c>
      <c r="H305" s="3">
        <v>0</v>
      </c>
      <c r="I305" s="3">
        <v>0</v>
      </c>
      <c r="J305" s="3">
        <v>5000</v>
      </c>
      <c r="K305" s="3">
        <v>5000</v>
      </c>
      <c r="L305" s="4">
        <v>0</v>
      </c>
      <c r="M305" s="5">
        <v>46143</v>
      </c>
      <c r="N305" s="3">
        <f t="shared" si="4"/>
        <v>0</v>
      </c>
    </row>
    <row r="306" spans="1:19">
      <c r="A306" s="1">
        <v>52</v>
      </c>
      <c r="B306" s="2" t="s">
        <v>101</v>
      </c>
      <c r="C306" s="2" t="s">
        <v>331</v>
      </c>
      <c r="D306" s="2" t="s">
        <v>332</v>
      </c>
      <c r="E306" s="3">
        <v>26000</v>
      </c>
      <c r="F306" s="3">
        <v>2080</v>
      </c>
      <c r="G306" s="3">
        <v>520</v>
      </c>
      <c r="H306" s="3">
        <v>52</v>
      </c>
      <c r="I306" s="3">
        <v>1560</v>
      </c>
      <c r="J306" s="3">
        <v>5000</v>
      </c>
      <c r="K306" s="3">
        <v>9212</v>
      </c>
      <c r="L306" s="4">
        <v>503.64</v>
      </c>
      <c r="M306" s="5">
        <v>46143</v>
      </c>
      <c r="N306" s="3">
        <f t="shared" si="4"/>
        <v>0</v>
      </c>
    </row>
    <row r="307" spans="1:19">
      <c r="A307" s="1">
        <v>53</v>
      </c>
      <c r="B307" s="2" t="s">
        <v>101</v>
      </c>
      <c r="C307" s="2" t="s">
        <v>336</v>
      </c>
      <c r="D307" s="2" t="s">
        <v>337</v>
      </c>
      <c r="E307" s="3">
        <v>18200</v>
      </c>
      <c r="F307" s="3">
        <v>1440</v>
      </c>
      <c r="G307" s="3">
        <v>360</v>
      </c>
      <c r="H307" s="3">
        <v>36</v>
      </c>
      <c r="I307" s="3">
        <v>1080</v>
      </c>
      <c r="J307" s="3">
        <v>5000</v>
      </c>
      <c r="K307" s="3">
        <v>7916</v>
      </c>
      <c r="L307" s="4">
        <v>308.52</v>
      </c>
      <c r="M307" s="5">
        <v>46143</v>
      </c>
      <c r="N307" s="3">
        <f t="shared" si="4"/>
        <v>0</v>
      </c>
    </row>
    <row r="308" spans="1:19">
      <c r="A308" s="1">
        <v>54</v>
      </c>
      <c r="B308" s="2" t="s">
        <v>101</v>
      </c>
      <c r="C308" s="2" t="s">
        <v>926</v>
      </c>
      <c r="D308" s="2" t="s">
        <v>451</v>
      </c>
      <c r="E308" s="3">
        <v>3632.18</v>
      </c>
      <c r="F308" s="3">
        <v>0</v>
      </c>
      <c r="G308" s="3">
        <v>0</v>
      </c>
      <c r="H308" s="3">
        <v>0</v>
      </c>
      <c r="I308" s="3">
        <v>0</v>
      </c>
      <c r="J308" s="3">
        <v>5000</v>
      </c>
      <c r="K308" s="3">
        <v>5000</v>
      </c>
      <c r="L308" s="4">
        <v>0</v>
      </c>
      <c r="M308" s="5">
        <v>46143</v>
      </c>
      <c r="N308" s="3">
        <f t="shared" si="4"/>
        <v>0</v>
      </c>
    </row>
    <row r="309" spans="1:19">
      <c r="A309" s="1">
        <v>55</v>
      </c>
      <c r="B309" s="2" t="s">
        <v>101</v>
      </c>
      <c r="C309" s="2" t="s">
        <v>341</v>
      </c>
      <c r="D309" s="2" t="s">
        <v>342</v>
      </c>
      <c r="E309" s="3">
        <v>35200</v>
      </c>
      <c r="F309" s="3">
        <v>2203.92</v>
      </c>
      <c r="G309" s="3">
        <v>672.66</v>
      </c>
      <c r="H309" s="3">
        <v>70</v>
      </c>
      <c r="I309" s="3">
        <v>2100</v>
      </c>
      <c r="J309" s="3">
        <v>5000</v>
      </c>
      <c r="K309" s="3">
        <v>10046.58</v>
      </c>
      <c r="L309" s="4">
        <v>754.6</v>
      </c>
      <c r="M309" s="5">
        <v>46143</v>
      </c>
      <c r="N309" s="3">
        <f t="shared" si="4"/>
        <v>0</v>
      </c>
    </row>
    <row r="310" spans="1:19">
      <c r="A310" s="1">
        <v>56</v>
      </c>
      <c r="B310" s="2" t="s">
        <v>101</v>
      </c>
      <c r="C310" s="2" t="s">
        <v>346</v>
      </c>
      <c r="D310" s="2" t="s">
        <v>347</v>
      </c>
      <c r="E310" s="3">
        <v>20200</v>
      </c>
      <c r="F310" s="3">
        <v>1600</v>
      </c>
      <c r="G310" s="3">
        <v>400</v>
      </c>
      <c r="H310" s="3">
        <v>40</v>
      </c>
      <c r="I310" s="3">
        <v>1200</v>
      </c>
      <c r="J310" s="3">
        <v>5000</v>
      </c>
      <c r="K310" s="3">
        <v>8240</v>
      </c>
      <c r="L310" s="4">
        <v>358.8</v>
      </c>
      <c r="M310" s="5">
        <v>46143</v>
      </c>
      <c r="N310" s="3">
        <f t="shared" si="4"/>
        <v>0</v>
      </c>
    </row>
    <row r="311" spans="1:19">
      <c r="A311" s="1">
        <v>57</v>
      </c>
      <c r="B311" s="2" t="s">
        <v>101</v>
      </c>
      <c r="C311" s="2" t="s">
        <v>351</v>
      </c>
      <c r="D311" s="2" t="s">
        <v>352</v>
      </c>
      <c r="E311" s="3">
        <v>13620.69</v>
      </c>
      <c r="F311" s="3">
        <v>1200</v>
      </c>
      <c r="G311" s="3">
        <v>300</v>
      </c>
      <c r="H311" s="3">
        <v>30</v>
      </c>
      <c r="I311" s="3">
        <v>900</v>
      </c>
      <c r="J311" s="3">
        <v>5000</v>
      </c>
      <c r="K311" s="3">
        <v>7430</v>
      </c>
      <c r="L311" s="4">
        <v>185.72</v>
      </c>
      <c r="M311" s="5">
        <v>46143</v>
      </c>
      <c r="N311" s="3">
        <f t="shared" si="4"/>
        <v>0</v>
      </c>
    </row>
    <row r="312" spans="1:19">
      <c r="A312" s="1">
        <v>58</v>
      </c>
      <c r="B312" s="2" t="s">
        <v>101</v>
      </c>
      <c r="C312" s="2" t="s">
        <v>927</v>
      </c>
      <c r="D312" s="2" t="s">
        <v>928</v>
      </c>
      <c r="E312" s="3">
        <v>11804.6</v>
      </c>
      <c r="F312" s="3">
        <v>1040</v>
      </c>
      <c r="G312" s="3">
        <v>260</v>
      </c>
      <c r="H312" s="3">
        <v>26</v>
      </c>
      <c r="I312" s="3">
        <v>780</v>
      </c>
      <c r="J312" s="3">
        <v>5000</v>
      </c>
      <c r="K312" s="3">
        <v>7106</v>
      </c>
      <c r="L312" s="4">
        <v>140.96</v>
      </c>
      <c r="M312" s="5">
        <v>46143</v>
      </c>
      <c r="N312" s="3">
        <f t="shared" si="4"/>
        <v>0</v>
      </c>
    </row>
    <row r="313" spans="1:19">
      <c r="A313" s="1">
        <v>59</v>
      </c>
      <c r="B313" s="2" t="s">
        <v>101</v>
      </c>
      <c r="C313" s="2" t="s">
        <v>356</v>
      </c>
      <c r="D313" s="2" t="s">
        <v>357</v>
      </c>
      <c r="E313" s="3">
        <v>17252.87</v>
      </c>
      <c r="F313" s="3">
        <v>1520</v>
      </c>
      <c r="G313" s="3">
        <v>380</v>
      </c>
      <c r="H313" s="3">
        <v>38</v>
      </c>
      <c r="I313" s="3">
        <v>1140</v>
      </c>
      <c r="J313" s="3">
        <v>5000</v>
      </c>
      <c r="K313" s="3">
        <v>8078</v>
      </c>
      <c r="L313" s="4">
        <v>275.25</v>
      </c>
      <c r="M313" s="5">
        <v>46143</v>
      </c>
      <c r="N313" s="3">
        <f t="shared" si="4"/>
        <v>0</v>
      </c>
    </row>
    <row r="314" spans="1:19">
      <c r="A314" s="1">
        <v>60</v>
      </c>
      <c r="B314" s="2" t="s">
        <v>101</v>
      </c>
      <c r="C314" s="2" t="s">
        <v>360</v>
      </c>
      <c r="D314" s="2" t="s">
        <v>361</v>
      </c>
      <c r="E314" s="3">
        <v>12413.79</v>
      </c>
      <c r="F314" s="3">
        <v>0</v>
      </c>
      <c r="G314" s="3">
        <v>0</v>
      </c>
      <c r="H314" s="3">
        <v>0</v>
      </c>
      <c r="I314" s="3">
        <v>0</v>
      </c>
      <c r="J314" s="3">
        <v>5000</v>
      </c>
      <c r="K314" s="3">
        <v>5000</v>
      </c>
      <c r="L314" s="4">
        <v>222.41</v>
      </c>
      <c r="M314" s="5">
        <v>46143</v>
      </c>
      <c r="N314" s="3">
        <f t="shared" si="4"/>
        <v>0</v>
      </c>
    </row>
    <row r="315" spans="1:19">
      <c r="A315" s="1">
        <v>61</v>
      </c>
      <c r="B315" s="2" t="s">
        <v>101</v>
      </c>
      <c r="C315" s="2" t="s">
        <v>364</v>
      </c>
      <c r="D315" s="2" t="s">
        <v>365</v>
      </c>
      <c r="E315" s="3">
        <v>8275.86</v>
      </c>
      <c r="F315" s="3">
        <v>0</v>
      </c>
      <c r="G315" s="3">
        <v>0</v>
      </c>
      <c r="H315" s="3">
        <v>0</v>
      </c>
      <c r="I315" s="3">
        <v>0</v>
      </c>
      <c r="J315" s="3">
        <v>5000</v>
      </c>
      <c r="K315" s="3">
        <v>5000</v>
      </c>
      <c r="L315" s="4">
        <v>98.28</v>
      </c>
      <c r="M315" s="5">
        <v>46143</v>
      </c>
      <c r="N315" s="3">
        <f t="shared" si="4"/>
        <v>0</v>
      </c>
    </row>
    <row r="316" spans="1:19">
      <c r="A316" s="1">
        <v>62</v>
      </c>
      <c r="B316" s="2" t="s">
        <v>101</v>
      </c>
      <c r="C316" s="2" t="s">
        <v>369</v>
      </c>
      <c r="D316" s="2" t="s">
        <v>370</v>
      </c>
      <c r="E316" s="3">
        <v>3678.16</v>
      </c>
      <c r="F316" s="3">
        <v>0</v>
      </c>
      <c r="G316" s="3">
        <v>0</v>
      </c>
      <c r="H316" s="3">
        <v>0</v>
      </c>
      <c r="I316" s="3">
        <v>0</v>
      </c>
      <c r="J316" s="3">
        <v>5000</v>
      </c>
      <c r="K316" s="3">
        <v>5000</v>
      </c>
      <c r="L316" s="4">
        <v>0</v>
      </c>
      <c r="M316" s="5">
        <v>46143</v>
      </c>
      <c r="N316" s="3">
        <f t="shared" si="4"/>
        <v>0</v>
      </c>
    </row>
    <row r="317" spans="1:19">
      <c r="A317" s="1">
        <v>63</v>
      </c>
      <c r="B317" s="2" t="s">
        <v>101</v>
      </c>
      <c r="C317" s="2" t="s">
        <v>374</v>
      </c>
      <c r="D317" s="2" t="s">
        <v>375</v>
      </c>
      <c r="E317" s="3">
        <v>919.54</v>
      </c>
      <c r="F317" s="3">
        <v>0</v>
      </c>
      <c r="G317" s="3">
        <v>0</v>
      </c>
      <c r="H317" s="3">
        <v>0</v>
      </c>
      <c r="I317" s="3">
        <v>0</v>
      </c>
      <c r="J317" s="3">
        <v>5000</v>
      </c>
      <c r="K317" s="3">
        <v>5000</v>
      </c>
      <c r="L317" s="4">
        <v>0</v>
      </c>
      <c r="M317" s="5">
        <v>46143</v>
      </c>
      <c r="N317" s="3">
        <f t="shared" si="4"/>
        <v>0</v>
      </c>
    </row>
    <row r="318" spans="1:19">
      <c r="A318" s="1">
        <v>64</v>
      </c>
      <c r="B318" s="2" t="s">
        <v>101</v>
      </c>
      <c r="C318" s="2" t="s">
        <v>379</v>
      </c>
      <c r="D318" s="2" t="s">
        <v>380</v>
      </c>
      <c r="E318" s="3">
        <v>1195.4</v>
      </c>
      <c r="F318" s="3">
        <v>0</v>
      </c>
      <c r="G318" s="3">
        <v>0</v>
      </c>
      <c r="H318" s="3">
        <v>0</v>
      </c>
      <c r="I318" s="3">
        <v>0</v>
      </c>
      <c r="J318" s="3">
        <v>5000</v>
      </c>
      <c r="K318" s="3">
        <v>5000</v>
      </c>
      <c r="L318" s="4">
        <v>0</v>
      </c>
      <c r="M318" s="5">
        <v>46143</v>
      </c>
      <c r="N318" s="3">
        <f t="shared" si="4"/>
        <v>0</v>
      </c>
    </row>
    <row r="319" spans="1:19">
      <c r="A319" s="1">
        <v>65</v>
      </c>
      <c r="B319" s="2" t="s">
        <v>101</v>
      </c>
      <c r="C319" s="2" t="s">
        <v>384</v>
      </c>
      <c r="D319" s="2" t="s">
        <v>385</v>
      </c>
      <c r="E319" s="3">
        <v>827.59</v>
      </c>
      <c r="F319" s="3">
        <v>0</v>
      </c>
      <c r="G319" s="3">
        <v>0</v>
      </c>
      <c r="H319" s="3">
        <v>0</v>
      </c>
      <c r="I319" s="3">
        <v>0</v>
      </c>
      <c r="J319" s="3">
        <v>5000</v>
      </c>
      <c r="K319" s="3">
        <v>5000</v>
      </c>
      <c r="L319" s="4">
        <v>0</v>
      </c>
      <c r="M319" s="5">
        <v>46143</v>
      </c>
      <c r="N319" s="3">
        <f t="shared" si="4"/>
        <v>0</v>
      </c>
    </row>
    <row r="320" spans="1:19">
      <c r="A320" s="1">
        <v>1</v>
      </c>
      <c r="B320" s="2" t="s">
        <v>101</v>
      </c>
      <c r="C320" s="2" t="s">
        <v>102</v>
      </c>
      <c r="D320" s="2" t="s">
        <v>103</v>
      </c>
      <c r="E320" s="3">
        <v>50200</v>
      </c>
      <c r="F320" s="3">
        <v>2203.92</v>
      </c>
      <c r="G320" s="3">
        <v>672.66</v>
      </c>
      <c r="H320" s="3">
        <v>88.53</v>
      </c>
      <c r="I320" s="3">
        <v>2655.9</v>
      </c>
      <c r="J320" s="3">
        <v>5000</v>
      </c>
      <c r="K320" s="3">
        <v>10621.01</v>
      </c>
      <c r="L320" s="4">
        <v>7915.79</v>
      </c>
      <c r="M320" s="5">
        <v>46174</v>
      </c>
      <c r="N320" s="3">
        <f t="shared" si="4"/>
        <v>0</v>
      </c>
      <c r="Q320" s="7" t="s">
        <v>20</v>
      </c>
      <c r="R320" s="7" t="s">
        <v>90</v>
      </c>
      <c r="S320" s="7" t="s">
        <v>901</v>
      </c>
    </row>
    <row r="321" spans="1:19">
      <c r="A321" s="1">
        <v>2</v>
      </c>
      <c r="B321" s="2" t="s">
        <v>101</v>
      </c>
      <c r="C321" s="2" t="s">
        <v>108</v>
      </c>
      <c r="D321" s="2" t="s">
        <v>109</v>
      </c>
      <c r="E321" s="3">
        <v>16200</v>
      </c>
      <c r="F321" s="3">
        <v>1280</v>
      </c>
      <c r="G321" s="3">
        <v>320</v>
      </c>
      <c r="H321" s="3">
        <v>32</v>
      </c>
      <c r="I321" s="3">
        <v>840</v>
      </c>
      <c r="J321" s="3">
        <v>5000</v>
      </c>
      <c r="K321" s="3">
        <v>7472</v>
      </c>
      <c r="L321" s="4">
        <v>658.68</v>
      </c>
      <c r="M321" s="5">
        <v>46174</v>
      </c>
      <c r="N321" s="3">
        <f t="shared" si="4"/>
        <v>0</v>
      </c>
      <c r="Q321" s="7">
        <f>SUM(E320:E395)</f>
        <v>1579424.12</v>
      </c>
      <c r="R321" s="7">
        <f>SUM(K320:K395)</f>
        <v>609244.92</v>
      </c>
      <c r="S321" s="7">
        <f>SUM(L320:L395)</f>
        <v>114580.23</v>
      </c>
    </row>
    <row r="322" spans="1:19">
      <c r="A322" s="1">
        <v>3</v>
      </c>
      <c r="B322" s="2" t="s">
        <v>101</v>
      </c>
      <c r="C322" s="2" t="s">
        <v>113</v>
      </c>
      <c r="D322" s="2" t="s">
        <v>114</v>
      </c>
      <c r="E322" s="3">
        <v>50200</v>
      </c>
      <c r="F322" s="3">
        <v>2203.92</v>
      </c>
      <c r="G322" s="3">
        <v>672.66</v>
      </c>
      <c r="H322" s="3">
        <v>88.53</v>
      </c>
      <c r="I322" s="3">
        <v>2655.9</v>
      </c>
      <c r="J322" s="3">
        <v>5000</v>
      </c>
      <c r="K322" s="3">
        <v>10621.01</v>
      </c>
      <c r="L322" s="4">
        <v>7915.8</v>
      </c>
      <c r="M322" s="5">
        <v>46174</v>
      </c>
      <c r="N322" s="3">
        <f t="shared" ref="N322:N385" si="5">K322-F322-G322-H322-I322-J322</f>
        <v>0</v>
      </c>
    </row>
    <row r="323" spans="1:19">
      <c r="A323" s="1">
        <v>4</v>
      </c>
      <c r="B323" s="2" t="s">
        <v>101</v>
      </c>
      <c r="C323" s="2" t="s">
        <v>118</v>
      </c>
      <c r="D323" s="2" t="s">
        <v>119</v>
      </c>
      <c r="E323" s="3">
        <v>48200</v>
      </c>
      <c r="F323" s="3">
        <v>2203.92</v>
      </c>
      <c r="G323" s="3">
        <v>672.66</v>
      </c>
      <c r="H323" s="3">
        <v>88.53</v>
      </c>
      <c r="I323" s="3">
        <v>2655.9</v>
      </c>
      <c r="J323" s="3">
        <v>5000</v>
      </c>
      <c r="K323" s="3">
        <v>10621.01</v>
      </c>
      <c r="L323" s="4">
        <v>7515.79</v>
      </c>
      <c r="M323" s="5">
        <v>46174</v>
      </c>
      <c r="N323" s="3">
        <f t="shared" si="5"/>
        <v>0</v>
      </c>
      <c r="Q323" s="7">
        <v>1579424.12</v>
      </c>
      <c r="R323" s="7">
        <v>609244.92</v>
      </c>
      <c r="S323" s="7">
        <v>114580.23</v>
      </c>
    </row>
    <row r="324" spans="1:19">
      <c r="A324" s="1">
        <v>5</v>
      </c>
      <c r="B324" s="2" t="s">
        <v>101</v>
      </c>
      <c r="C324" s="2" t="s">
        <v>123</v>
      </c>
      <c r="D324" s="2" t="s">
        <v>124</v>
      </c>
      <c r="E324" s="3">
        <v>45200</v>
      </c>
      <c r="F324" s="3">
        <v>2203.92</v>
      </c>
      <c r="G324" s="3">
        <v>672.66</v>
      </c>
      <c r="H324" s="3">
        <v>88.53</v>
      </c>
      <c r="I324" s="3">
        <v>2655.9</v>
      </c>
      <c r="J324" s="3">
        <v>5000</v>
      </c>
      <c r="K324" s="3">
        <v>10621.01</v>
      </c>
      <c r="L324" s="4">
        <v>6915.79</v>
      </c>
      <c r="M324" s="5">
        <v>46174</v>
      </c>
      <c r="N324" s="3">
        <f t="shared" si="5"/>
        <v>0</v>
      </c>
    </row>
    <row r="325" spans="1:19">
      <c r="A325" s="1">
        <v>6</v>
      </c>
      <c r="B325" s="2" t="s">
        <v>101</v>
      </c>
      <c r="C325" s="2" t="s">
        <v>128</v>
      </c>
      <c r="D325" s="2" t="s">
        <v>129</v>
      </c>
      <c r="E325" s="3">
        <v>38200</v>
      </c>
      <c r="F325" s="3">
        <v>0</v>
      </c>
      <c r="G325" s="3">
        <v>0</v>
      </c>
      <c r="H325" s="3">
        <v>0</v>
      </c>
      <c r="I325" s="3">
        <v>0</v>
      </c>
      <c r="J325" s="3">
        <v>5000</v>
      </c>
      <c r="K325" s="3">
        <v>5000</v>
      </c>
      <c r="L325" s="4">
        <v>6640</v>
      </c>
      <c r="M325" s="5">
        <v>46174</v>
      </c>
      <c r="N325" s="3">
        <f t="shared" si="5"/>
        <v>0</v>
      </c>
      <c r="Q325" s="7">
        <f>Q321-Q323</f>
        <v>0</v>
      </c>
      <c r="R325" s="7">
        <f>R321-R323</f>
        <v>0</v>
      </c>
      <c r="S325" s="7">
        <f>S321-S323</f>
        <v>0</v>
      </c>
    </row>
    <row r="326" spans="1:19">
      <c r="A326" s="1">
        <v>7</v>
      </c>
      <c r="B326" s="2" t="s">
        <v>101</v>
      </c>
      <c r="C326" s="2" t="s">
        <v>133</v>
      </c>
      <c r="D326" s="2" t="s">
        <v>134</v>
      </c>
      <c r="E326" s="3">
        <v>18200</v>
      </c>
      <c r="F326" s="3">
        <v>1440</v>
      </c>
      <c r="G326" s="3">
        <v>360</v>
      </c>
      <c r="H326" s="3">
        <v>36</v>
      </c>
      <c r="I326" s="3">
        <v>1080</v>
      </c>
      <c r="J326" s="3">
        <v>5000</v>
      </c>
      <c r="K326" s="3">
        <v>7916</v>
      </c>
      <c r="L326" s="4">
        <v>1028.4</v>
      </c>
      <c r="M326" s="5">
        <v>46174</v>
      </c>
      <c r="N326" s="3">
        <f t="shared" si="5"/>
        <v>0</v>
      </c>
    </row>
    <row r="327" spans="1:19">
      <c r="A327" s="1">
        <v>8</v>
      </c>
      <c r="B327" s="2" t="s">
        <v>101</v>
      </c>
      <c r="C327" s="2" t="s">
        <v>138</v>
      </c>
      <c r="D327" s="2" t="s">
        <v>139</v>
      </c>
      <c r="E327" s="3">
        <v>30200</v>
      </c>
      <c r="F327" s="3">
        <v>2203.92</v>
      </c>
      <c r="G327" s="3">
        <v>600</v>
      </c>
      <c r="H327" s="3">
        <v>60</v>
      </c>
      <c r="I327" s="3">
        <v>1800</v>
      </c>
      <c r="J327" s="3">
        <v>5000</v>
      </c>
      <c r="K327" s="3">
        <v>9663.92</v>
      </c>
      <c r="L327" s="4">
        <v>2053.61</v>
      </c>
      <c r="M327" s="5">
        <v>46174</v>
      </c>
      <c r="N327" s="3">
        <f t="shared" si="5"/>
        <v>0</v>
      </c>
    </row>
    <row r="328" spans="1:19">
      <c r="A328" s="1">
        <v>9</v>
      </c>
      <c r="B328" s="2" t="s">
        <v>101</v>
      </c>
      <c r="C328" s="2" t="s">
        <v>904</v>
      </c>
      <c r="D328" s="2" t="s">
        <v>905</v>
      </c>
      <c r="E328" s="3">
        <v>14712.64</v>
      </c>
      <c r="F328" s="3">
        <v>2203.92</v>
      </c>
      <c r="G328" s="3">
        <v>640</v>
      </c>
      <c r="H328" s="3">
        <v>64</v>
      </c>
      <c r="I328" s="3">
        <v>1920</v>
      </c>
      <c r="J328" s="3">
        <v>5000</v>
      </c>
      <c r="K328" s="3">
        <v>9827.92</v>
      </c>
      <c r="L328" s="4">
        <v>488.469999999999</v>
      </c>
      <c r="M328" s="5">
        <v>46174</v>
      </c>
      <c r="N328" s="3">
        <f t="shared" si="5"/>
        <v>0</v>
      </c>
    </row>
    <row r="329" spans="1:19">
      <c r="A329" s="1">
        <v>10</v>
      </c>
      <c r="B329" s="2" t="s">
        <v>101</v>
      </c>
      <c r="C329" s="2" t="s">
        <v>142</v>
      </c>
      <c r="D329" s="2" t="s">
        <v>143</v>
      </c>
      <c r="E329" s="3">
        <v>30200</v>
      </c>
      <c r="F329" s="3">
        <v>2203.92</v>
      </c>
      <c r="G329" s="3">
        <v>600</v>
      </c>
      <c r="H329" s="3">
        <v>60</v>
      </c>
      <c r="I329" s="3">
        <v>1800</v>
      </c>
      <c r="J329" s="3">
        <v>5000</v>
      </c>
      <c r="K329" s="3">
        <v>9663.92</v>
      </c>
      <c r="L329" s="4">
        <v>2053.61</v>
      </c>
      <c r="M329" s="5">
        <v>46174</v>
      </c>
      <c r="N329" s="3">
        <f t="shared" si="5"/>
        <v>0</v>
      </c>
    </row>
    <row r="330" spans="1:19">
      <c r="A330" s="1">
        <v>11</v>
      </c>
      <c r="B330" s="2" t="s">
        <v>101</v>
      </c>
      <c r="C330" s="2" t="s">
        <v>146</v>
      </c>
      <c r="D330" s="2" t="s">
        <v>147</v>
      </c>
      <c r="E330" s="3">
        <v>20200</v>
      </c>
      <c r="F330" s="3">
        <v>1600</v>
      </c>
      <c r="G330" s="3">
        <v>400</v>
      </c>
      <c r="H330" s="3">
        <v>40</v>
      </c>
      <c r="I330" s="3">
        <v>1200</v>
      </c>
      <c r="J330" s="3">
        <v>5000</v>
      </c>
      <c r="K330" s="3">
        <v>8240</v>
      </c>
      <c r="L330" s="4">
        <v>1196</v>
      </c>
      <c r="M330" s="5">
        <v>46174</v>
      </c>
      <c r="N330" s="3">
        <f t="shared" si="5"/>
        <v>0</v>
      </c>
    </row>
    <row r="331" spans="1:19">
      <c r="A331" s="1">
        <v>12</v>
      </c>
      <c r="B331" s="2" t="s">
        <v>101</v>
      </c>
      <c r="C331" s="2" t="s">
        <v>151</v>
      </c>
      <c r="D331" s="2" t="s">
        <v>152</v>
      </c>
      <c r="E331" s="3">
        <v>25200</v>
      </c>
      <c r="F331" s="3">
        <v>2000</v>
      </c>
      <c r="G331" s="3">
        <v>500</v>
      </c>
      <c r="H331" s="3">
        <v>50</v>
      </c>
      <c r="I331" s="3">
        <v>1500</v>
      </c>
      <c r="J331" s="3">
        <v>5000</v>
      </c>
      <c r="K331" s="3">
        <v>9050</v>
      </c>
      <c r="L331" s="4">
        <v>1615</v>
      </c>
      <c r="M331" s="5">
        <v>46174</v>
      </c>
      <c r="N331" s="3">
        <f t="shared" si="5"/>
        <v>0</v>
      </c>
    </row>
    <row r="332" spans="1:19">
      <c r="A332" s="1">
        <v>13</v>
      </c>
      <c r="B332" s="2" t="s">
        <v>101</v>
      </c>
      <c r="C332" s="2" t="s">
        <v>155</v>
      </c>
      <c r="D332" s="2" t="s">
        <v>156</v>
      </c>
      <c r="E332" s="3">
        <v>23200</v>
      </c>
      <c r="F332" s="3">
        <v>1840</v>
      </c>
      <c r="G332" s="3">
        <v>460</v>
      </c>
      <c r="H332" s="3">
        <v>46</v>
      </c>
      <c r="I332" s="3">
        <v>1380</v>
      </c>
      <c r="J332" s="3">
        <v>5000</v>
      </c>
      <c r="K332" s="3">
        <v>8726</v>
      </c>
      <c r="L332" s="4">
        <v>1447.4</v>
      </c>
      <c r="M332" s="5">
        <v>46174</v>
      </c>
      <c r="N332" s="3">
        <f t="shared" si="5"/>
        <v>0</v>
      </c>
    </row>
    <row r="333" spans="1:19">
      <c r="A333" s="1">
        <v>14</v>
      </c>
      <c r="B333" s="2" t="s">
        <v>101</v>
      </c>
      <c r="C333" s="2" t="s">
        <v>160</v>
      </c>
      <c r="D333" s="2" t="s">
        <v>161</v>
      </c>
      <c r="E333" s="3">
        <v>21200</v>
      </c>
      <c r="F333" s="3">
        <v>1680</v>
      </c>
      <c r="G333" s="3">
        <v>420</v>
      </c>
      <c r="H333" s="3">
        <v>42</v>
      </c>
      <c r="I333" s="3">
        <v>1200</v>
      </c>
      <c r="J333" s="3">
        <v>5000</v>
      </c>
      <c r="K333" s="3">
        <v>8342</v>
      </c>
      <c r="L333" s="4">
        <v>785.8</v>
      </c>
      <c r="M333" s="5">
        <v>46174</v>
      </c>
      <c r="N333" s="3">
        <f t="shared" si="5"/>
        <v>0</v>
      </c>
    </row>
    <row r="334" spans="1:19">
      <c r="A334" s="1">
        <v>15</v>
      </c>
      <c r="B334" s="2" t="s">
        <v>101</v>
      </c>
      <c r="C334" s="2" t="s">
        <v>165</v>
      </c>
      <c r="D334" s="2" t="s">
        <v>166</v>
      </c>
      <c r="E334" s="3">
        <v>24200</v>
      </c>
      <c r="F334" s="3">
        <v>1920</v>
      </c>
      <c r="G334" s="3">
        <v>480</v>
      </c>
      <c r="H334" s="3">
        <v>48</v>
      </c>
      <c r="I334" s="3">
        <v>1320</v>
      </c>
      <c r="J334" s="3">
        <v>5000</v>
      </c>
      <c r="K334" s="3">
        <v>8768</v>
      </c>
      <c r="L334" s="4">
        <v>1543.2</v>
      </c>
      <c r="M334" s="5">
        <v>46174</v>
      </c>
      <c r="N334" s="3">
        <f t="shared" si="5"/>
        <v>0</v>
      </c>
    </row>
    <row r="335" spans="1:19">
      <c r="A335" s="1">
        <v>16</v>
      </c>
      <c r="B335" s="2" t="s">
        <v>101</v>
      </c>
      <c r="C335" s="2" t="s">
        <v>170</v>
      </c>
      <c r="D335" s="2" t="s">
        <v>171</v>
      </c>
      <c r="E335" s="3">
        <v>16200</v>
      </c>
      <c r="F335" s="3">
        <v>1280</v>
      </c>
      <c r="G335" s="3">
        <v>320</v>
      </c>
      <c r="H335" s="3">
        <v>32</v>
      </c>
      <c r="I335" s="3">
        <v>900</v>
      </c>
      <c r="J335" s="3">
        <v>5000</v>
      </c>
      <c r="K335" s="3">
        <v>7532</v>
      </c>
      <c r="L335" s="4">
        <v>866.8</v>
      </c>
      <c r="M335" s="5">
        <v>46174</v>
      </c>
      <c r="N335" s="3">
        <f t="shared" si="5"/>
        <v>0</v>
      </c>
    </row>
    <row r="336" spans="1:19">
      <c r="A336" s="1">
        <v>17</v>
      </c>
      <c r="B336" s="2" t="s">
        <v>101</v>
      </c>
      <c r="C336" s="2" t="s">
        <v>175</v>
      </c>
      <c r="D336" s="2" t="s">
        <v>176</v>
      </c>
      <c r="E336" s="3">
        <v>30924.14</v>
      </c>
      <c r="F336" s="3">
        <v>2160</v>
      </c>
      <c r="G336" s="3">
        <v>540</v>
      </c>
      <c r="H336" s="3">
        <v>54</v>
      </c>
      <c r="I336" s="3">
        <v>1500</v>
      </c>
      <c r="J336" s="3">
        <v>5000</v>
      </c>
      <c r="K336" s="3">
        <v>9254</v>
      </c>
      <c r="L336" s="4">
        <v>2167.01</v>
      </c>
      <c r="M336" s="5">
        <v>46174</v>
      </c>
      <c r="N336" s="3">
        <f t="shared" si="5"/>
        <v>0</v>
      </c>
    </row>
    <row r="337" spans="1:14">
      <c r="A337" s="1">
        <v>18</v>
      </c>
      <c r="B337" s="2" t="s">
        <v>101</v>
      </c>
      <c r="C337" s="2" t="s">
        <v>180</v>
      </c>
      <c r="D337" s="2" t="s">
        <v>181</v>
      </c>
      <c r="E337" s="3">
        <v>16131.03</v>
      </c>
      <c r="F337" s="3">
        <v>1120</v>
      </c>
      <c r="G337" s="3">
        <v>280</v>
      </c>
      <c r="H337" s="3">
        <v>28</v>
      </c>
      <c r="I337" s="3">
        <v>780</v>
      </c>
      <c r="J337" s="3">
        <v>5000</v>
      </c>
      <c r="K337" s="3">
        <v>7208</v>
      </c>
      <c r="L337" s="4">
        <v>222.69</v>
      </c>
      <c r="M337" s="5">
        <v>46174</v>
      </c>
      <c r="N337" s="3">
        <f t="shared" si="5"/>
        <v>0</v>
      </c>
    </row>
    <row r="338" spans="1:14">
      <c r="A338" s="1">
        <v>19</v>
      </c>
      <c r="B338" s="2" t="s">
        <v>101</v>
      </c>
      <c r="C338" s="2" t="s">
        <v>185</v>
      </c>
      <c r="D338" s="2" t="s">
        <v>186</v>
      </c>
      <c r="E338" s="3">
        <v>50200</v>
      </c>
      <c r="F338" s="3">
        <v>2203.92</v>
      </c>
      <c r="G338" s="3">
        <v>672.66</v>
      </c>
      <c r="H338" s="3">
        <v>88.53</v>
      </c>
      <c r="I338" s="3">
        <v>2655.9</v>
      </c>
      <c r="J338" s="3">
        <v>5000</v>
      </c>
      <c r="K338" s="3">
        <v>10621.01</v>
      </c>
      <c r="L338" s="4">
        <v>6615.79</v>
      </c>
      <c r="M338" s="5">
        <v>46174</v>
      </c>
      <c r="N338" s="3">
        <f t="shared" si="5"/>
        <v>0</v>
      </c>
    </row>
    <row r="339" spans="1:14">
      <c r="A339" s="1">
        <v>20</v>
      </c>
      <c r="B339" s="2" t="s">
        <v>101</v>
      </c>
      <c r="C339" s="2" t="s">
        <v>190</v>
      </c>
      <c r="D339" s="2" t="s">
        <v>191</v>
      </c>
      <c r="E339" s="3">
        <v>14200</v>
      </c>
      <c r="F339" s="3">
        <v>1120</v>
      </c>
      <c r="G339" s="3">
        <v>280</v>
      </c>
      <c r="H339" s="3">
        <v>28</v>
      </c>
      <c r="I339" s="3">
        <v>840</v>
      </c>
      <c r="J339" s="3">
        <v>5000</v>
      </c>
      <c r="K339" s="3">
        <v>7268</v>
      </c>
      <c r="L339" s="4">
        <v>693.2</v>
      </c>
      <c r="M339" s="5">
        <v>46174</v>
      </c>
      <c r="N339" s="3">
        <f t="shared" si="5"/>
        <v>0</v>
      </c>
    </row>
    <row r="340" spans="1:14">
      <c r="A340" s="1">
        <v>21</v>
      </c>
      <c r="B340" s="2" t="s">
        <v>101</v>
      </c>
      <c r="C340" s="2" t="s">
        <v>195</v>
      </c>
      <c r="D340" s="2" t="s">
        <v>196</v>
      </c>
      <c r="E340" s="3">
        <v>18200</v>
      </c>
      <c r="F340" s="3">
        <v>1440</v>
      </c>
      <c r="G340" s="3">
        <v>360</v>
      </c>
      <c r="H340" s="3">
        <v>36</v>
      </c>
      <c r="I340" s="3">
        <v>1080</v>
      </c>
      <c r="J340" s="3">
        <v>5000</v>
      </c>
      <c r="K340" s="3">
        <v>7916</v>
      </c>
      <c r="L340" s="4">
        <v>1028.4</v>
      </c>
      <c r="M340" s="5">
        <v>46174</v>
      </c>
      <c r="N340" s="3">
        <f t="shared" si="5"/>
        <v>0</v>
      </c>
    </row>
    <row r="341" spans="1:14">
      <c r="A341" s="1">
        <v>22</v>
      </c>
      <c r="B341" s="2" t="s">
        <v>101</v>
      </c>
      <c r="C341" s="2" t="s">
        <v>200</v>
      </c>
      <c r="D341" s="2" t="s">
        <v>201</v>
      </c>
      <c r="E341" s="3">
        <v>14200</v>
      </c>
      <c r="F341" s="3">
        <v>1120</v>
      </c>
      <c r="G341" s="3">
        <v>280</v>
      </c>
      <c r="H341" s="3">
        <v>28</v>
      </c>
      <c r="I341" s="3">
        <v>840</v>
      </c>
      <c r="J341" s="3">
        <v>5000</v>
      </c>
      <c r="K341" s="3">
        <v>7268</v>
      </c>
      <c r="L341" s="4">
        <v>693.2</v>
      </c>
      <c r="M341" s="5">
        <v>46174</v>
      </c>
      <c r="N341" s="3">
        <f t="shared" si="5"/>
        <v>0</v>
      </c>
    </row>
    <row r="342" spans="1:14">
      <c r="A342" s="1">
        <v>23</v>
      </c>
      <c r="B342" s="2" t="s">
        <v>101</v>
      </c>
      <c r="C342" s="2" t="s">
        <v>204</v>
      </c>
      <c r="D342" s="2" t="s">
        <v>205</v>
      </c>
      <c r="E342" s="3">
        <v>36500</v>
      </c>
      <c r="F342" s="3">
        <v>2203.92</v>
      </c>
      <c r="G342" s="3">
        <v>672.66</v>
      </c>
      <c r="H342" s="3">
        <v>72.6</v>
      </c>
      <c r="I342" s="3">
        <v>1980</v>
      </c>
      <c r="J342" s="3">
        <v>5000</v>
      </c>
      <c r="K342" s="3">
        <v>9929.18</v>
      </c>
      <c r="L342" s="4">
        <v>5314.17</v>
      </c>
      <c r="M342" s="5">
        <v>46174</v>
      </c>
      <c r="N342" s="3">
        <f t="shared" si="5"/>
        <v>0</v>
      </c>
    </row>
    <row r="343" spans="1:14">
      <c r="A343" s="1">
        <v>24</v>
      </c>
      <c r="B343" s="2" t="s">
        <v>101</v>
      </c>
      <c r="C343" s="2" t="s">
        <v>209</v>
      </c>
      <c r="D343" s="2" t="s">
        <v>210</v>
      </c>
      <c r="E343" s="3">
        <v>19200</v>
      </c>
      <c r="F343" s="3">
        <v>1520</v>
      </c>
      <c r="G343" s="3">
        <v>380</v>
      </c>
      <c r="H343" s="3">
        <v>38</v>
      </c>
      <c r="I343" s="3">
        <v>1140</v>
      </c>
      <c r="J343" s="3">
        <v>5000</v>
      </c>
      <c r="K343" s="3">
        <v>8078</v>
      </c>
      <c r="L343" s="4">
        <v>1112.2</v>
      </c>
      <c r="M343" s="5">
        <v>46174</v>
      </c>
      <c r="N343" s="3">
        <f t="shared" si="5"/>
        <v>0</v>
      </c>
    </row>
    <row r="344" spans="1:14">
      <c r="A344" s="1">
        <v>25</v>
      </c>
      <c r="B344" s="2" t="s">
        <v>101</v>
      </c>
      <c r="C344" s="2" t="s">
        <v>214</v>
      </c>
      <c r="D344" s="2" t="s">
        <v>215</v>
      </c>
      <c r="E344" s="3">
        <v>20200</v>
      </c>
      <c r="F344" s="3">
        <v>1600</v>
      </c>
      <c r="G344" s="3">
        <v>400</v>
      </c>
      <c r="H344" s="3">
        <v>40</v>
      </c>
      <c r="I344" s="3">
        <v>1200</v>
      </c>
      <c r="J344" s="3">
        <v>5000</v>
      </c>
      <c r="K344" s="3">
        <v>8240</v>
      </c>
      <c r="L344" s="4">
        <v>1196</v>
      </c>
      <c r="M344" s="5">
        <v>46174</v>
      </c>
      <c r="N344" s="3">
        <f t="shared" si="5"/>
        <v>0</v>
      </c>
    </row>
    <row r="345" spans="1:14">
      <c r="A345" s="1">
        <v>26</v>
      </c>
      <c r="B345" s="2" t="s">
        <v>101</v>
      </c>
      <c r="C345" s="2" t="s">
        <v>218</v>
      </c>
      <c r="D345" s="2" t="s">
        <v>219</v>
      </c>
      <c r="E345" s="3">
        <v>30200</v>
      </c>
      <c r="F345" s="3">
        <v>2203.92</v>
      </c>
      <c r="G345" s="3">
        <v>600</v>
      </c>
      <c r="H345" s="3">
        <v>60</v>
      </c>
      <c r="I345" s="3">
        <v>1800</v>
      </c>
      <c r="J345" s="3">
        <v>5000</v>
      </c>
      <c r="K345" s="3">
        <v>9663.92</v>
      </c>
      <c r="L345" s="4">
        <v>2053.61</v>
      </c>
      <c r="M345" s="5">
        <v>46174</v>
      </c>
      <c r="N345" s="3">
        <f t="shared" si="5"/>
        <v>0</v>
      </c>
    </row>
    <row r="346" spans="1:14">
      <c r="A346" s="1">
        <v>27</v>
      </c>
      <c r="B346" s="2" t="s">
        <v>101</v>
      </c>
      <c r="C346" s="2" t="s">
        <v>223</v>
      </c>
      <c r="D346" s="2" t="s">
        <v>224</v>
      </c>
      <c r="E346" s="3">
        <v>20200</v>
      </c>
      <c r="F346" s="3">
        <v>1600</v>
      </c>
      <c r="G346" s="3">
        <v>400</v>
      </c>
      <c r="H346" s="3">
        <v>40</v>
      </c>
      <c r="I346" s="3">
        <v>1200</v>
      </c>
      <c r="J346" s="3">
        <v>5000</v>
      </c>
      <c r="K346" s="3">
        <v>8240</v>
      </c>
      <c r="L346" s="4">
        <v>1096</v>
      </c>
      <c r="M346" s="5">
        <v>46174</v>
      </c>
      <c r="N346" s="3">
        <f t="shared" si="5"/>
        <v>0</v>
      </c>
    </row>
    <row r="347" spans="1:14">
      <c r="A347" s="1">
        <v>28</v>
      </c>
      <c r="B347" s="2" t="s">
        <v>101</v>
      </c>
      <c r="C347" s="2" t="s">
        <v>228</v>
      </c>
      <c r="D347" s="2" t="s">
        <v>229</v>
      </c>
      <c r="E347" s="3">
        <v>25200</v>
      </c>
      <c r="F347" s="3">
        <v>2000</v>
      </c>
      <c r="G347" s="3">
        <v>500</v>
      </c>
      <c r="H347" s="3">
        <v>50</v>
      </c>
      <c r="I347" s="3">
        <v>1500</v>
      </c>
      <c r="J347" s="3">
        <v>5000</v>
      </c>
      <c r="K347" s="3">
        <v>9050</v>
      </c>
      <c r="L347" s="4">
        <v>1615</v>
      </c>
      <c r="M347" s="5">
        <v>46174</v>
      </c>
      <c r="N347" s="3">
        <f t="shared" si="5"/>
        <v>0</v>
      </c>
    </row>
    <row r="348" spans="1:14">
      <c r="A348" s="1">
        <v>29</v>
      </c>
      <c r="B348" s="2" t="s">
        <v>101</v>
      </c>
      <c r="C348" s="2" t="s">
        <v>233</v>
      </c>
      <c r="D348" s="2" t="s">
        <v>234</v>
      </c>
      <c r="E348" s="3">
        <v>36200</v>
      </c>
      <c r="F348" s="3">
        <v>2203.92</v>
      </c>
      <c r="G348" s="3">
        <v>672.66</v>
      </c>
      <c r="H348" s="3">
        <v>72</v>
      </c>
      <c r="I348" s="3">
        <v>2160</v>
      </c>
      <c r="J348" s="3">
        <v>5000</v>
      </c>
      <c r="K348" s="3">
        <v>10108.58</v>
      </c>
      <c r="L348" s="4">
        <v>5218.29</v>
      </c>
      <c r="M348" s="5">
        <v>46174</v>
      </c>
      <c r="N348" s="3">
        <f t="shared" si="5"/>
        <v>0</v>
      </c>
    </row>
    <row r="349" spans="1:14">
      <c r="A349" s="1">
        <v>30</v>
      </c>
      <c r="B349" s="2" t="s">
        <v>101</v>
      </c>
      <c r="C349" s="2" t="s">
        <v>238</v>
      </c>
      <c r="D349" s="2" t="s">
        <v>239</v>
      </c>
      <c r="E349" s="3">
        <v>20200</v>
      </c>
      <c r="F349" s="3">
        <v>1600</v>
      </c>
      <c r="G349" s="3">
        <v>400</v>
      </c>
      <c r="H349" s="3">
        <v>40</v>
      </c>
      <c r="I349" s="3">
        <v>1200</v>
      </c>
      <c r="J349" s="3">
        <v>5000</v>
      </c>
      <c r="K349" s="3">
        <v>8240</v>
      </c>
      <c r="L349" s="4">
        <v>1196</v>
      </c>
      <c r="M349" s="5">
        <v>46174</v>
      </c>
      <c r="N349" s="3">
        <f t="shared" si="5"/>
        <v>0</v>
      </c>
    </row>
    <row r="350" spans="1:14">
      <c r="A350" s="1">
        <v>31</v>
      </c>
      <c r="B350" s="2" t="s">
        <v>101</v>
      </c>
      <c r="C350" s="2" t="s">
        <v>242</v>
      </c>
      <c r="D350" s="2" t="s">
        <v>243</v>
      </c>
      <c r="E350" s="3">
        <v>24900</v>
      </c>
      <c r="F350" s="3">
        <v>1960</v>
      </c>
      <c r="G350" s="3">
        <v>490</v>
      </c>
      <c r="H350" s="3">
        <v>49</v>
      </c>
      <c r="I350" s="3">
        <v>1380</v>
      </c>
      <c r="J350" s="3">
        <v>5000</v>
      </c>
      <c r="K350" s="3">
        <v>8879</v>
      </c>
      <c r="L350" s="4">
        <v>1602.1</v>
      </c>
      <c r="M350" s="5">
        <v>46174</v>
      </c>
      <c r="N350" s="3">
        <f t="shared" si="5"/>
        <v>0</v>
      </c>
    </row>
    <row r="351" spans="1:14">
      <c r="A351" s="1">
        <v>32</v>
      </c>
      <c r="B351" s="2" t="s">
        <v>101</v>
      </c>
      <c r="C351" s="2" t="s">
        <v>247</v>
      </c>
      <c r="D351" s="2" t="s">
        <v>248</v>
      </c>
      <c r="E351" s="3">
        <v>9200</v>
      </c>
      <c r="F351" s="3">
        <v>720</v>
      </c>
      <c r="G351" s="3">
        <v>180</v>
      </c>
      <c r="H351" s="3">
        <v>18</v>
      </c>
      <c r="I351" s="3">
        <v>480</v>
      </c>
      <c r="J351" s="3">
        <v>5000</v>
      </c>
      <c r="K351" s="3">
        <v>6398</v>
      </c>
      <c r="L351" s="4">
        <v>39.06</v>
      </c>
      <c r="M351" s="5">
        <v>46174</v>
      </c>
      <c r="N351" s="3">
        <f t="shared" si="5"/>
        <v>0</v>
      </c>
    </row>
    <row r="352" spans="1:14">
      <c r="A352" s="1">
        <v>33</v>
      </c>
      <c r="B352" s="2" t="s">
        <v>101</v>
      </c>
      <c r="C352" s="2" t="s">
        <v>252</v>
      </c>
      <c r="D352" s="2" t="s">
        <v>253</v>
      </c>
      <c r="E352" s="3">
        <v>20200</v>
      </c>
      <c r="F352" s="3">
        <v>1600</v>
      </c>
      <c r="G352" s="3">
        <v>400</v>
      </c>
      <c r="H352" s="3">
        <v>40</v>
      </c>
      <c r="I352" s="3">
        <v>1140</v>
      </c>
      <c r="J352" s="3">
        <v>5000</v>
      </c>
      <c r="K352" s="3">
        <v>8180</v>
      </c>
      <c r="L352" s="4">
        <v>1202</v>
      </c>
      <c r="M352" s="5">
        <v>46174</v>
      </c>
      <c r="N352" s="3">
        <f t="shared" si="5"/>
        <v>0</v>
      </c>
    </row>
    <row r="353" spans="1:14">
      <c r="A353" s="1">
        <v>34</v>
      </c>
      <c r="B353" s="2" t="s">
        <v>101</v>
      </c>
      <c r="C353" s="2" t="s">
        <v>257</v>
      </c>
      <c r="D353" s="2" t="s">
        <v>258</v>
      </c>
      <c r="E353" s="3">
        <v>33200</v>
      </c>
      <c r="F353" s="3">
        <v>2203.92</v>
      </c>
      <c r="G353" s="3">
        <v>660</v>
      </c>
      <c r="H353" s="3">
        <v>66</v>
      </c>
      <c r="I353" s="3">
        <v>1800</v>
      </c>
      <c r="J353" s="3">
        <v>5000</v>
      </c>
      <c r="K353" s="3">
        <v>9729.92</v>
      </c>
      <c r="L353" s="4">
        <v>2974.53</v>
      </c>
      <c r="M353" s="5">
        <v>46174</v>
      </c>
      <c r="N353" s="3">
        <f t="shared" si="5"/>
        <v>0</v>
      </c>
    </row>
    <row r="354" spans="1:14">
      <c r="A354" s="1">
        <v>35</v>
      </c>
      <c r="B354" s="2" t="s">
        <v>101</v>
      </c>
      <c r="C354" s="2" t="s">
        <v>262</v>
      </c>
      <c r="D354" s="2" t="s">
        <v>263</v>
      </c>
      <c r="E354" s="3">
        <v>45200</v>
      </c>
      <c r="F354" s="3">
        <v>2203.92</v>
      </c>
      <c r="G354" s="3">
        <v>672.66</v>
      </c>
      <c r="H354" s="3">
        <v>88.53</v>
      </c>
      <c r="I354" s="3">
        <v>2655.9</v>
      </c>
      <c r="J354" s="3">
        <v>5000</v>
      </c>
      <c r="K354" s="3">
        <v>10621.01</v>
      </c>
      <c r="L354" s="4">
        <v>6915.79</v>
      </c>
      <c r="M354" s="5">
        <v>46174</v>
      </c>
      <c r="N354" s="3">
        <f t="shared" si="5"/>
        <v>0</v>
      </c>
    </row>
    <row r="355" spans="1:14">
      <c r="A355" s="1">
        <v>36</v>
      </c>
      <c r="B355" s="2" t="s">
        <v>101</v>
      </c>
      <c r="C355" s="2" t="s">
        <v>267</v>
      </c>
      <c r="D355" s="2" t="s">
        <v>268</v>
      </c>
      <c r="E355" s="3">
        <v>21200</v>
      </c>
      <c r="F355" s="3">
        <v>1680</v>
      </c>
      <c r="G355" s="3">
        <v>420</v>
      </c>
      <c r="H355" s="3">
        <v>42</v>
      </c>
      <c r="I355" s="3">
        <v>1260</v>
      </c>
      <c r="J355" s="3">
        <v>5000</v>
      </c>
      <c r="K355" s="3">
        <v>8402</v>
      </c>
      <c r="L355" s="4">
        <v>1279.8</v>
      </c>
      <c r="M355" s="5">
        <v>46174</v>
      </c>
      <c r="N355" s="3">
        <f t="shared" si="5"/>
        <v>0</v>
      </c>
    </row>
    <row r="356" spans="1:14">
      <c r="A356" s="1">
        <v>37</v>
      </c>
      <c r="B356" s="2" t="s">
        <v>101</v>
      </c>
      <c r="C356" s="2" t="s">
        <v>272</v>
      </c>
      <c r="D356" s="2" t="s">
        <v>273</v>
      </c>
      <c r="E356" s="3">
        <v>35200</v>
      </c>
      <c r="F356" s="3">
        <v>2203.92</v>
      </c>
      <c r="G356" s="3">
        <v>672.66</v>
      </c>
      <c r="H356" s="3">
        <v>70</v>
      </c>
      <c r="I356" s="3">
        <v>2100</v>
      </c>
      <c r="J356" s="3">
        <v>5000</v>
      </c>
      <c r="K356" s="3">
        <v>10046.58</v>
      </c>
      <c r="L356" s="4">
        <v>4486.23</v>
      </c>
      <c r="M356" s="5">
        <v>46174</v>
      </c>
      <c r="N356" s="3">
        <f t="shared" si="5"/>
        <v>0</v>
      </c>
    </row>
    <row r="357" spans="1:14">
      <c r="A357" s="1">
        <v>38</v>
      </c>
      <c r="B357" s="2" t="s">
        <v>101</v>
      </c>
      <c r="C357" s="2" t="s">
        <v>277</v>
      </c>
      <c r="D357" s="2" t="s">
        <v>278</v>
      </c>
      <c r="E357" s="3">
        <v>26700</v>
      </c>
      <c r="F357" s="3">
        <v>2120</v>
      </c>
      <c r="G357" s="3">
        <v>530</v>
      </c>
      <c r="H357" s="3">
        <v>53</v>
      </c>
      <c r="I357" s="3">
        <v>1590</v>
      </c>
      <c r="J357" s="3">
        <v>5000</v>
      </c>
      <c r="K357" s="3">
        <v>9293</v>
      </c>
      <c r="L357" s="4">
        <v>1740.7</v>
      </c>
      <c r="M357" s="5">
        <v>46174</v>
      </c>
      <c r="N357" s="3">
        <f t="shared" si="5"/>
        <v>0</v>
      </c>
    </row>
    <row r="358" spans="1:14">
      <c r="A358" s="1">
        <v>39</v>
      </c>
      <c r="B358" s="2" t="s">
        <v>101</v>
      </c>
      <c r="C358" s="2" t="s">
        <v>282</v>
      </c>
      <c r="D358" s="2" t="s">
        <v>283</v>
      </c>
      <c r="E358" s="3">
        <v>16200</v>
      </c>
      <c r="F358" s="3">
        <v>1280</v>
      </c>
      <c r="G358" s="3">
        <v>320</v>
      </c>
      <c r="H358" s="3">
        <v>32</v>
      </c>
      <c r="I358" s="3">
        <v>960</v>
      </c>
      <c r="J358" s="3">
        <v>5000</v>
      </c>
      <c r="K358" s="3">
        <v>7592</v>
      </c>
      <c r="L358" s="4">
        <v>860.8</v>
      </c>
      <c r="M358" s="5">
        <v>46174</v>
      </c>
      <c r="N358" s="3">
        <f t="shared" si="5"/>
        <v>0</v>
      </c>
    </row>
    <row r="359" spans="1:14">
      <c r="A359" s="1">
        <v>40</v>
      </c>
      <c r="B359" s="2" t="s">
        <v>101</v>
      </c>
      <c r="C359" s="2" t="s">
        <v>287</v>
      </c>
      <c r="D359" s="2" t="s">
        <v>288</v>
      </c>
      <c r="E359" s="3">
        <v>13200</v>
      </c>
      <c r="F359" s="3">
        <v>1040</v>
      </c>
      <c r="G359" s="3">
        <v>260</v>
      </c>
      <c r="H359" s="3">
        <v>26</v>
      </c>
      <c r="I359" s="3">
        <v>780</v>
      </c>
      <c r="J359" s="3">
        <v>5000</v>
      </c>
      <c r="K359" s="3">
        <v>7106</v>
      </c>
      <c r="L359" s="4">
        <v>182.82</v>
      </c>
      <c r="M359" s="5">
        <v>46174</v>
      </c>
      <c r="N359" s="3">
        <f t="shared" si="5"/>
        <v>0</v>
      </c>
    </row>
    <row r="360" spans="1:14">
      <c r="A360" s="1">
        <v>41</v>
      </c>
      <c r="B360" s="2" t="s">
        <v>101</v>
      </c>
      <c r="C360" s="2" t="s">
        <v>292</v>
      </c>
      <c r="D360" s="2" t="s">
        <v>293</v>
      </c>
      <c r="E360" s="3">
        <v>8400</v>
      </c>
      <c r="F360" s="3">
        <v>640</v>
      </c>
      <c r="G360" s="3">
        <v>160</v>
      </c>
      <c r="H360" s="3">
        <v>16</v>
      </c>
      <c r="I360" s="3">
        <v>480</v>
      </c>
      <c r="J360" s="3">
        <v>5000</v>
      </c>
      <c r="K360" s="3">
        <v>6296</v>
      </c>
      <c r="L360" s="4">
        <v>63.12</v>
      </c>
      <c r="M360" s="5">
        <v>46174</v>
      </c>
      <c r="N360" s="3">
        <f t="shared" si="5"/>
        <v>0</v>
      </c>
    </row>
    <row r="361" spans="1:14">
      <c r="A361" s="1">
        <v>42</v>
      </c>
      <c r="B361" s="2" t="s">
        <v>101</v>
      </c>
      <c r="C361" s="2" t="s">
        <v>296</v>
      </c>
      <c r="D361" s="2" t="s">
        <v>297</v>
      </c>
      <c r="E361" s="3">
        <v>14400</v>
      </c>
      <c r="F361" s="3">
        <v>1120</v>
      </c>
      <c r="G361" s="3">
        <v>280</v>
      </c>
      <c r="H361" s="3">
        <v>28</v>
      </c>
      <c r="I361" s="3">
        <v>840</v>
      </c>
      <c r="J361" s="3">
        <v>5000</v>
      </c>
      <c r="K361" s="3">
        <v>7268</v>
      </c>
      <c r="L361" s="4">
        <v>213.96</v>
      </c>
      <c r="M361" s="5">
        <v>46174</v>
      </c>
      <c r="N361" s="3">
        <f t="shared" si="5"/>
        <v>0</v>
      </c>
    </row>
    <row r="362" spans="1:14">
      <c r="A362" s="1">
        <v>43</v>
      </c>
      <c r="B362" s="2" t="s">
        <v>101</v>
      </c>
      <c r="C362" s="2" t="s">
        <v>301</v>
      </c>
      <c r="D362" s="2" t="s">
        <v>302</v>
      </c>
      <c r="E362" s="3">
        <v>15200</v>
      </c>
      <c r="F362" s="3">
        <v>1200</v>
      </c>
      <c r="G362" s="3">
        <v>300</v>
      </c>
      <c r="H362" s="3">
        <v>30</v>
      </c>
      <c r="I362" s="3">
        <v>900</v>
      </c>
      <c r="J362" s="3">
        <v>5000</v>
      </c>
      <c r="K362" s="3">
        <v>7430</v>
      </c>
      <c r="L362" s="4">
        <v>349.32</v>
      </c>
      <c r="M362" s="5">
        <v>46174</v>
      </c>
      <c r="N362" s="3">
        <f t="shared" si="5"/>
        <v>0</v>
      </c>
    </row>
    <row r="363" spans="1:14">
      <c r="A363" s="1">
        <v>44</v>
      </c>
      <c r="B363" s="2" t="s">
        <v>101</v>
      </c>
      <c r="C363" s="2" t="s">
        <v>306</v>
      </c>
      <c r="D363" s="2" t="s">
        <v>307</v>
      </c>
      <c r="E363" s="3">
        <v>35200</v>
      </c>
      <c r="F363" s="3">
        <v>2203.92</v>
      </c>
      <c r="G363" s="3">
        <v>672.66</v>
      </c>
      <c r="H363" s="3">
        <v>70</v>
      </c>
      <c r="I363" s="3">
        <v>2100</v>
      </c>
      <c r="J363" s="3">
        <v>5000</v>
      </c>
      <c r="K363" s="3">
        <v>10046.58</v>
      </c>
      <c r="L363" s="4">
        <v>2515.34</v>
      </c>
      <c r="M363" s="5">
        <v>46174</v>
      </c>
      <c r="N363" s="3">
        <f t="shared" si="5"/>
        <v>0</v>
      </c>
    </row>
    <row r="364" spans="1:14">
      <c r="A364" s="1">
        <v>45</v>
      </c>
      <c r="B364" s="2" t="s">
        <v>101</v>
      </c>
      <c r="C364" s="2" t="s">
        <v>924</v>
      </c>
      <c r="D364" s="2" t="s">
        <v>925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5000</v>
      </c>
      <c r="K364" s="3">
        <v>5000</v>
      </c>
      <c r="L364" s="4">
        <v>0</v>
      </c>
      <c r="M364" s="5">
        <v>46174</v>
      </c>
      <c r="N364" s="3">
        <f t="shared" si="5"/>
        <v>0</v>
      </c>
    </row>
    <row r="365" spans="1:14">
      <c r="A365" s="1">
        <v>46</v>
      </c>
      <c r="B365" s="2" t="s">
        <v>101</v>
      </c>
      <c r="C365" s="2" t="s">
        <v>310</v>
      </c>
      <c r="D365" s="2" t="s">
        <v>311</v>
      </c>
      <c r="E365" s="3">
        <v>4200</v>
      </c>
      <c r="F365" s="3">
        <v>0</v>
      </c>
      <c r="G365" s="3">
        <v>0</v>
      </c>
      <c r="H365" s="3">
        <v>0</v>
      </c>
      <c r="I365" s="3">
        <v>0</v>
      </c>
      <c r="J365" s="3">
        <v>5000</v>
      </c>
      <c r="K365" s="3">
        <v>5000</v>
      </c>
      <c r="L365" s="4">
        <v>0</v>
      </c>
      <c r="M365" s="5">
        <v>46174</v>
      </c>
      <c r="N365" s="3">
        <f t="shared" si="5"/>
        <v>0</v>
      </c>
    </row>
    <row r="366" spans="1:14">
      <c r="A366" s="1">
        <v>47</v>
      </c>
      <c r="B366" s="2" t="s">
        <v>101</v>
      </c>
      <c r="C366" s="2" t="s">
        <v>316</v>
      </c>
      <c r="D366" s="2" t="s">
        <v>317</v>
      </c>
      <c r="E366" s="3">
        <v>26200</v>
      </c>
      <c r="F366" s="3">
        <v>2080</v>
      </c>
      <c r="G366" s="3">
        <v>520</v>
      </c>
      <c r="H366" s="3">
        <v>52</v>
      </c>
      <c r="I366" s="3">
        <v>1560</v>
      </c>
      <c r="J366" s="3">
        <v>5000</v>
      </c>
      <c r="K366" s="3">
        <v>9212</v>
      </c>
      <c r="L366" s="4">
        <v>1262.8</v>
      </c>
      <c r="M366" s="5">
        <v>46174</v>
      </c>
      <c r="N366" s="3">
        <f t="shared" si="5"/>
        <v>0</v>
      </c>
    </row>
    <row r="367" spans="1:14">
      <c r="A367" s="1">
        <v>48</v>
      </c>
      <c r="B367" s="2" t="s">
        <v>101</v>
      </c>
      <c r="C367" s="2" t="s">
        <v>321</v>
      </c>
      <c r="D367" s="2" t="s">
        <v>322</v>
      </c>
      <c r="E367" s="3">
        <v>15400</v>
      </c>
      <c r="F367" s="3">
        <v>1200</v>
      </c>
      <c r="G367" s="3">
        <v>300</v>
      </c>
      <c r="H367" s="3">
        <v>30</v>
      </c>
      <c r="I367" s="3">
        <v>900</v>
      </c>
      <c r="J367" s="3">
        <v>5000</v>
      </c>
      <c r="K367" s="3">
        <v>7430</v>
      </c>
      <c r="L367" s="4">
        <v>239.1</v>
      </c>
      <c r="M367" s="5">
        <v>46174</v>
      </c>
      <c r="N367" s="3">
        <f t="shared" si="5"/>
        <v>0</v>
      </c>
    </row>
    <row r="368" spans="1:14">
      <c r="A368" s="1">
        <v>49</v>
      </c>
      <c r="B368" s="2" t="s">
        <v>101</v>
      </c>
      <c r="C368" s="2" t="s">
        <v>326</v>
      </c>
      <c r="D368" s="2" t="s">
        <v>327</v>
      </c>
      <c r="E368" s="3">
        <v>4000</v>
      </c>
      <c r="F368" s="3">
        <v>0</v>
      </c>
      <c r="G368" s="3">
        <v>0</v>
      </c>
      <c r="H368" s="3">
        <v>0</v>
      </c>
      <c r="I368" s="3">
        <v>0</v>
      </c>
      <c r="J368" s="3">
        <v>5000</v>
      </c>
      <c r="K368" s="3">
        <v>5000</v>
      </c>
      <c r="L368" s="4">
        <v>0</v>
      </c>
      <c r="M368" s="5">
        <v>46174</v>
      </c>
      <c r="N368" s="3">
        <f t="shared" si="5"/>
        <v>0</v>
      </c>
    </row>
    <row r="369" spans="1:14">
      <c r="A369" s="1">
        <v>50</v>
      </c>
      <c r="B369" s="2" t="s">
        <v>101</v>
      </c>
      <c r="C369" s="2" t="s">
        <v>331</v>
      </c>
      <c r="D369" s="2" t="s">
        <v>332</v>
      </c>
      <c r="E369" s="3">
        <v>26200</v>
      </c>
      <c r="F369" s="3">
        <v>2080</v>
      </c>
      <c r="G369" s="3">
        <v>520</v>
      </c>
      <c r="H369" s="3">
        <v>52</v>
      </c>
      <c r="I369" s="3">
        <v>1560</v>
      </c>
      <c r="J369" s="3">
        <v>5000</v>
      </c>
      <c r="K369" s="3">
        <v>9212</v>
      </c>
      <c r="L369" s="4">
        <v>1194.41</v>
      </c>
      <c r="M369" s="5">
        <v>46174</v>
      </c>
      <c r="N369" s="3">
        <f t="shared" si="5"/>
        <v>0</v>
      </c>
    </row>
    <row r="370" spans="1:14">
      <c r="A370" s="1">
        <v>51</v>
      </c>
      <c r="B370" s="2" t="s">
        <v>101</v>
      </c>
      <c r="C370" s="2" t="s">
        <v>336</v>
      </c>
      <c r="D370" s="2" t="s">
        <v>337</v>
      </c>
      <c r="E370" s="3">
        <v>18200</v>
      </c>
      <c r="F370" s="3">
        <v>1440</v>
      </c>
      <c r="G370" s="3">
        <v>360</v>
      </c>
      <c r="H370" s="3">
        <v>36</v>
      </c>
      <c r="I370" s="3">
        <v>1080</v>
      </c>
      <c r="J370" s="3">
        <v>5000</v>
      </c>
      <c r="K370" s="3">
        <v>7916</v>
      </c>
      <c r="L370" s="4">
        <v>308.52</v>
      </c>
      <c r="M370" s="5">
        <v>46174</v>
      </c>
      <c r="N370" s="3">
        <f t="shared" si="5"/>
        <v>0</v>
      </c>
    </row>
    <row r="371" spans="1:14">
      <c r="A371" s="1">
        <v>52</v>
      </c>
      <c r="B371" s="2" t="s">
        <v>101</v>
      </c>
      <c r="C371" s="2" t="s">
        <v>926</v>
      </c>
      <c r="D371" s="2" t="s">
        <v>451</v>
      </c>
      <c r="E371" s="3">
        <v>3464.37</v>
      </c>
      <c r="F371" s="3">
        <v>0</v>
      </c>
      <c r="G371" s="3">
        <v>0</v>
      </c>
      <c r="H371" s="3">
        <v>0</v>
      </c>
      <c r="I371" s="3">
        <v>0</v>
      </c>
      <c r="J371" s="3">
        <v>5000</v>
      </c>
      <c r="K371" s="3">
        <v>5000</v>
      </c>
      <c r="L371" s="4">
        <v>0</v>
      </c>
      <c r="M371" s="5">
        <v>46174</v>
      </c>
      <c r="N371" s="3">
        <f t="shared" si="5"/>
        <v>0</v>
      </c>
    </row>
    <row r="372" spans="1:14">
      <c r="A372" s="1">
        <v>53</v>
      </c>
      <c r="B372" s="2" t="s">
        <v>101</v>
      </c>
      <c r="C372" s="2" t="s">
        <v>341</v>
      </c>
      <c r="D372" s="2" t="s">
        <v>342</v>
      </c>
      <c r="E372" s="3">
        <v>35200</v>
      </c>
      <c r="F372" s="3">
        <v>2203.92</v>
      </c>
      <c r="G372" s="3">
        <v>672.66</v>
      </c>
      <c r="H372" s="3">
        <v>70</v>
      </c>
      <c r="I372" s="3">
        <v>2100</v>
      </c>
      <c r="J372" s="3">
        <v>5000</v>
      </c>
      <c r="K372" s="3">
        <v>10046.58</v>
      </c>
      <c r="L372" s="4">
        <v>2039.03</v>
      </c>
      <c r="M372" s="5">
        <v>46174</v>
      </c>
      <c r="N372" s="3">
        <f t="shared" si="5"/>
        <v>0</v>
      </c>
    </row>
    <row r="373" spans="1:14">
      <c r="A373" s="1">
        <v>54</v>
      </c>
      <c r="B373" s="2" t="s">
        <v>101</v>
      </c>
      <c r="C373" s="2" t="s">
        <v>346</v>
      </c>
      <c r="D373" s="2" t="s">
        <v>347</v>
      </c>
      <c r="E373" s="3">
        <v>20200</v>
      </c>
      <c r="F373" s="3">
        <v>1600</v>
      </c>
      <c r="G373" s="3">
        <v>400</v>
      </c>
      <c r="H373" s="3">
        <v>40</v>
      </c>
      <c r="I373" s="3">
        <v>1200</v>
      </c>
      <c r="J373" s="3">
        <v>5000</v>
      </c>
      <c r="K373" s="3">
        <v>8240</v>
      </c>
      <c r="L373" s="4">
        <v>358.8</v>
      </c>
      <c r="M373" s="5">
        <v>46174</v>
      </c>
      <c r="N373" s="3">
        <f t="shared" si="5"/>
        <v>0</v>
      </c>
    </row>
    <row r="374" spans="1:14">
      <c r="A374" s="1">
        <v>55</v>
      </c>
      <c r="B374" s="2" t="s">
        <v>101</v>
      </c>
      <c r="C374" s="2" t="s">
        <v>351</v>
      </c>
      <c r="D374" s="2" t="s">
        <v>352</v>
      </c>
      <c r="E374" s="3">
        <v>13820.69</v>
      </c>
      <c r="F374" s="3">
        <v>1200</v>
      </c>
      <c r="G374" s="3">
        <v>300</v>
      </c>
      <c r="H374" s="3">
        <v>30</v>
      </c>
      <c r="I374" s="3">
        <v>900</v>
      </c>
      <c r="J374" s="3">
        <v>5000</v>
      </c>
      <c r="K374" s="3">
        <v>7430</v>
      </c>
      <c r="L374" s="4">
        <v>191.72</v>
      </c>
      <c r="M374" s="5">
        <v>46174</v>
      </c>
      <c r="N374" s="3">
        <f t="shared" si="5"/>
        <v>0</v>
      </c>
    </row>
    <row r="375" spans="1:14">
      <c r="A375" s="1">
        <v>56</v>
      </c>
      <c r="B375" s="2" t="s">
        <v>101</v>
      </c>
      <c r="C375" s="2" t="s">
        <v>927</v>
      </c>
      <c r="D375" s="2" t="s">
        <v>928</v>
      </c>
      <c r="E375" s="3">
        <v>4482.76</v>
      </c>
      <c r="F375" s="3">
        <v>1040</v>
      </c>
      <c r="G375" s="3">
        <v>260</v>
      </c>
      <c r="H375" s="3">
        <v>26</v>
      </c>
      <c r="I375" s="3">
        <v>780</v>
      </c>
      <c r="J375" s="3">
        <v>5000</v>
      </c>
      <c r="K375" s="3">
        <v>7106</v>
      </c>
      <c r="L375" s="4">
        <v>0</v>
      </c>
      <c r="M375" s="5">
        <v>46174</v>
      </c>
      <c r="N375" s="3">
        <f t="shared" si="5"/>
        <v>0</v>
      </c>
    </row>
    <row r="376" spans="1:14">
      <c r="A376" s="1">
        <v>57</v>
      </c>
      <c r="B376" s="2" t="s">
        <v>101</v>
      </c>
      <c r="C376" s="2" t="s">
        <v>356</v>
      </c>
      <c r="D376" s="2" t="s">
        <v>357</v>
      </c>
      <c r="E376" s="3">
        <v>18326.44</v>
      </c>
      <c r="F376" s="3">
        <v>1520</v>
      </c>
      <c r="G376" s="3">
        <v>380</v>
      </c>
      <c r="H376" s="3">
        <v>38</v>
      </c>
      <c r="I376" s="3">
        <v>1140</v>
      </c>
      <c r="J376" s="3">
        <v>5000</v>
      </c>
      <c r="K376" s="3">
        <v>8078</v>
      </c>
      <c r="L376" s="4">
        <v>307.45</v>
      </c>
      <c r="M376" s="5">
        <v>46174</v>
      </c>
      <c r="N376" s="3">
        <f t="shared" si="5"/>
        <v>0</v>
      </c>
    </row>
    <row r="377" spans="1:14">
      <c r="A377" s="1">
        <v>58</v>
      </c>
      <c r="B377" s="2" t="s">
        <v>101</v>
      </c>
      <c r="C377" s="2" t="s">
        <v>360</v>
      </c>
      <c r="D377" s="2" t="s">
        <v>361</v>
      </c>
      <c r="E377" s="3">
        <v>30200</v>
      </c>
      <c r="F377" s="3">
        <v>2203.92</v>
      </c>
      <c r="G377" s="3">
        <v>600</v>
      </c>
      <c r="H377" s="3">
        <v>60</v>
      </c>
      <c r="I377" s="3">
        <v>1800</v>
      </c>
      <c r="J377" s="3">
        <v>5000</v>
      </c>
      <c r="K377" s="3">
        <v>9663.92</v>
      </c>
      <c r="L377" s="4">
        <v>616.09</v>
      </c>
      <c r="M377" s="5">
        <v>46174</v>
      </c>
      <c r="N377" s="3">
        <f t="shared" si="5"/>
        <v>0</v>
      </c>
    </row>
    <row r="378" spans="1:14">
      <c r="A378" s="1">
        <v>59</v>
      </c>
      <c r="B378" s="2" t="s">
        <v>101</v>
      </c>
      <c r="C378" s="2" t="s">
        <v>364</v>
      </c>
      <c r="D378" s="2" t="s">
        <v>365</v>
      </c>
      <c r="E378" s="3">
        <v>20200</v>
      </c>
      <c r="F378" s="3">
        <v>1600</v>
      </c>
      <c r="G378" s="3">
        <v>400</v>
      </c>
      <c r="H378" s="3">
        <v>40</v>
      </c>
      <c r="I378" s="3">
        <v>1200</v>
      </c>
      <c r="J378" s="3">
        <v>5000</v>
      </c>
      <c r="K378" s="3">
        <v>8240</v>
      </c>
      <c r="L378" s="4">
        <v>358.8</v>
      </c>
      <c r="M378" s="5">
        <v>46174</v>
      </c>
      <c r="N378" s="3">
        <f t="shared" si="5"/>
        <v>0</v>
      </c>
    </row>
    <row r="379" spans="1:14">
      <c r="A379" s="1">
        <v>60</v>
      </c>
      <c r="B379" s="2" t="s">
        <v>101</v>
      </c>
      <c r="C379" s="2" t="s">
        <v>369</v>
      </c>
      <c r="D379" s="2" t="s">
        <v>370</v>
      </c>
      <c r="E379" s="3">
        <v>20200</v>
      </c>
      <c r="F379" s="3">
        <v>1600</v>
      </c>
      <c r="G379" s="3">
        <v>400</v>
      </c>
      <c r="H379" s="3">
        <v>40</v>
      </c>
      <c r="I379" s="3">
        <v>1200</v>
      </c>
      <c r="J379" s="3">
        <v>5000</v>
      </c>
      <c r="K379" s="3">
        <v>8240</v>
      </c>
      <c r="L379" s="4">
        <v>319.14</v>
      </c>
      <c r="M379" s="5">
        <v>46174</v>
      </c>
      <c r="N379" s="3">
        <f t="shared" si="5"/>
        <v>0</v>
      </c>
    </row>
    <row r="380" spans="1:14">
      <c r="A380" s="1">
        <v>61</v>
      </c>
      <c r="B380" s="2" t="s">
        <v>101</v>
      </c>
      <c r="C380" s="2" t="s">
        <v>374</v>
      </c>
      <c r="D380" s="2" t="s">
        <v>375</v>
      </c>
      <c r="E380" s="3">
        <v>10200</v>
      </c>
      <c r="F380" s="3">
        <v>800</v>
      </c>
      <c r="G380" s="3">
        <v>200</v>
      </c>
      <c r="H380" s="3">
        <v>20</v>
      </c>
      <c r="I380" s="3">
        <v>600</v>
      </c>
      <c r="J380" s="3">
        <v>5000</v>
      </c>
      <c r="K380" s="3">
        <v>6620</v>
      </c>
      <c r="L380" s="4">
        <v>0</v>
      </c>
      <c r="M380" s="5">
        <v>46174</v>
      </c>
      <c r="N380" s="3">
        <f t="shared" si="5"/>
        <v>0</v>
      </c>
    </row>
    <row r="381" spans="1:14">
      <c r="A381" s="1">
        <v>62</v>
      </c>
      <c r="B381" s="2" t="s">
        <v>101</v>
      </c>
      <c r="C381" s="2" t="s">
        <v>379</v>
      </c>
      <c r="D381" s="2" t="s">
        <v>380</v>
      </c>
      <c r="E381" s="3">
        <v>13200</v>
      </c>
      <c r="F381" s="3">
        <v>1040</v>
      </c>
      <c r="G381" s="3">
        <v>260</v>
      </c>
      <c r="H381" s="3">
        <v>26</v>
      </c>
      <c r="I381" s="3">
        <v>780</v>
      </c>
      <c r="J381" s="3">
        <v>5000</v>
      </c>
      <c r="K381" s="3">
        <v>7106</v>
      </c>
      <c r="L381" s="4">
        <v>68.68</v>
      </c>
      <c r="M381" s="5">
        <v>46174</v>
      </c>
      <c r="N381" s="3">
        <f t="shared" si="5"/>
        <v>0</v>
      </c>
    </row>
    <row r="382" spans="1:14">
      <c r="A382" s="1">
        <v>63</v>
      </c>
      <c r="B382" s="2" t="s">
        <v>101</v>
      </c>
      <c r="C382" s="2" t="s">
        <v>384</v>
      </c>
      <c r="D382" s="2" t="s">
        <v>385</v>
      </c>
      <c r="E382" s="3">
        <v>18200</v>
      </c>
      <c r="F382" s="3">
        <v>1440</v>
      </c>
      <c r="G382" s="3">
        <v>360</v>
      </c>
      <c r="H382" s="3">
        <v>36</v>
      </c>
      <c r="I382" s="3">
        <v>1080</v>
      </c>
      <c r="J382" s="3">
        <v>5000</v>
      </c>
      <c r="K382" s="3">
        <v>7916</v>
      </c>
      <c r="L382" s="4">
        <v>183.35</v>
      </c>
      <c r="M382" s="5">
        <v>46174</v>
      </c>
      <c r="N382" s="3">
        <f t="shared" si="5"/>
        <v>0</v>
      </c>
    </row>
    <row r="383" spans="1:14">
      <c r="A383" s="1">
        <v>64</v>
      </c>
      <c r="B383" s="2" t="s">
        <v>101</v>
      </c>
      <c r="C383" s="2" t="s">
        <v>388</v>
      </c>
      <c r="D383" s="2" t="s">
        <v>389</v>
      </c>
      <c r="E383" s="3">
        <v>10694.25</v>
      </c>
      <c r="F383" s="3">
        <v>880</v>
      </c>
      <c r="G383" s="3">
        <v>220</v>
      </c>
      <c r="H383" s="3">
        <v>22</v>
      </c>
      <c r="I383" s="3">
        <v>660</v>
      </c>
      <c r="J383" s="3">
        <v>5000</v>
      </c>
      <c r="K383" s="3">
        <v>6782</v>
      </c>
      <c r="L383" s="4">
        <v>117.37</v>
      </c>
      <c r="M383" s="5">
        <v>46174</v>
      </c>
      <c r="N383" s="3">
        <f t="shared" si="5"/>
        <v>0</v>
      </c>
    </row>
    <row r="384" spans="1:14">
      <c r="A384" s="1">
        <v>65</v>
      </c>
      <c r="B384" s="2" t="s">
        <v>101</v>
      </c>
      <c r="C384" s="2" t="s">
        <v>393</v>
      </c>
      <c r="D384" s="2" t="s">
        <v>394</v>
      </c>
      <c r="E384" s="3">
        <v>13820.69</v>
      </c>
      <c r="F384" s="3">
        <v>1200</v>
      </c>
      <c r="G384" s="3">
        <v>300</v>
      </c>
      <c r="H384" s="3">
        <v>30</v>
      </c>
      <c r="I384" s="3">
        <v>900</v>
      </c>
      <c r="J384" s="3">
        <v>5000</v>
      </c>
      <c r="K384" s="3">
        <v>7430</v>
      </c>
      <c r="L384" s="4">
        <v>191.72</v>
      </c>
      <c r="M384" s="5">
        <v>46174</v>
      </c>
      <c r="N384" s="3">
        <f t="shared" si="5"/>
        <v>0</v>
      </c>
    </row>
    <row r="385" spans="1:14">
      <c r="A385" s="1">
        <v>66</v>
      </c>
      <c r="B385" s="2" t="s">
        <v>101</v>
      </c>
      <c r="C385" s="2" t="s">
        <v>398</v>
      </c>
      <c r="D385" s="2" t="s">
        <v>399</v>
      </c>
      <c r="E385" s="3">
        <v>26912.64</v>
      </c>
      <c r="F385" s="3">
        <v>2203.92</v>
      </c>
      <c r="G385" s="3">
        <v>560</v>
      </c>
      <c r="H385" s="3">
        <v>56</v>
      </c>
      <c r="I385" s="3">
        <v>1680</v>
      </c>
      <c r="J385" s="3">
        <v>5000</v>
      </c>
      <c r="K385" s="3">
        <v>9499.92</v>
      </c>
      <c r="L385" s="4">
        <v>522.38</v>
      </c>
      <c r="M385" s="5">
        <v>46174</v>
      </c>
      <c r="N385" s="3">
        <f t="shared" si="5"/>
        <v>0</v>
      </c>
    </row>
    <row r="386" spans="1:14">
      <c r="A386" s="1">
        <v>67</v>
      </c>
      <c r="B386" s="2" t="s">
        <v>101</v>
      </c>
      <c r="C386" s="2" t="s">
        <v>402</v>
      </c>
      <c r="D386" s="2" t="s">
        <v>403</v>
      </c>
      <c r="E386" s="3">
        <v>24337.93</v>
      </c>
      <c r="F386" s="3">
        <v>2203.92</v>
      </c>
      <c r="G386" s="3">
        <v>560</v>
      </c>
      <c r="H386" s="3">
        <v>56</v>
      </c>
      <c r="I386" s="3">
        <v>1680</v>
      </c>
      <c r="J386" s="3">
        <v>5000</v>
      </c>
      <c r="K386" s="3">
        <v>9499.92</v>
      </c>
      <c r="L386" s="4">
        <v>445.14</v>
      </c>
      <c r="M386" s="5">
        <v>46174</v>
      </c>
      <c r="N386" s="3">
        <f t="shared" ref="N386:N395" si="6">K386-F386-G386-H386-I386-J386</f>
        <v>0</v>
      </c>
    </row>
    <row r="387" spans="1:14">
      <c r="A387" s="1">
        <v>68</v>
      </c>
      <c r="B387" s="2" t="s">
        <v>101</v>
      </c>
      <c r="C387" s="2" t="s">
        <v>406</v>
      </c>
      <c r="D387" s="2" t="s">
        <v>407</v>
      </c>
      <c r="E387" s="3">
        <v>11924.14</v>
      </c>
      <c r="F387" s="3">
        <v>0</v>
      </c>
      <c r="G387" s="3">
        <v>0</v>
      </c>
      <c r="H387" s="3">
        <v>0</v>
      </c>
      <c r="I387" s="3">
        <v>1200</v>
      </c>
      <c r="J387" s="3">
        <v>5000</v>
      </c>
      <c r="K387" s="3">
        <v>6200</v>
      </c>
      <c r="L387" s="4">
        <v>171.72</v>
      </c>
      <c r="M387" s="5">
        <v>46174</v>
      </c>
      <c r="N387" s="3">
        <f t="shared" si="6"/>
        <v>0</v>
      </c>
    </row>
    <row r="388" spans="1:14">
      <c r="A388" s="1">
        <v>69</v>
      </c>
      <c r="B388" s="2" t="s">
        <v>101</v>
      </c>
      <c r="C388" s="2" t="s">
        <v>411</v>
      </c>
      <c r="D388" s="2" t="s">
        <v>412</v>
      </c>
      <c r="E388" s="3">
        <v>10464.37</v>
      </c>
      <c r="F388" s="3">
        <v>1520</v>
      </c>
      <c r="G388" s="3">
        <v>380</v>
      </c>
      <c r="H388" s="3">
        <v>38</v>
      </c>
      <c r="I388" s="3">
        <v>1140</v>
      </c>
      <c r="J388" s="3">
        <v>5000</v>
      </c>
      <c r="K388" s="3">
        <v>8078</v>
      </c>
      <c r="L388" s="4">
        <v>71.59</v>
      </c>
      <c r="M388" s="5">
        <v>46174</v>
      </c>
      <c r="N388" s="3">
        <f t="shared" si="6"/>
        <v>0</v>
      </c>
    </row>
    <row r="389" spans="1:14">
      <c r="A389" s="1">
        <v>70</v>
      </c>
      <c r="B389" s="2" t="s">
        <v>101</v>
      </c>
      <c r="C389" s="2" t="s">
        <v>416</v>
      </c>
      <c r="D389" s="2" t="s">
        <v>417</v>
      </c>
      <c r="E389" s="3">
        <v>11004.6</v>
      </c>
      <c r="F389" s="3">
        <v>1600</v>
      </c>
      <c r="G389" s="3">
        <v>400</v>
      </c>
      <c r="H389" s="3">
        <v>40</v>
      </c>
      <c r="I389" s="3">
        <v>1200</v>
      </c>
      <c r="J389" s="3">
        <v>5000</v>
      </c>
      <c r="K389" s="3">
        <v>8240</v>
      </c>
      <c r="L389" s="4">
        <v>82.94</v>
      </c>
      <c r="M389" s="5">
        <v>46174</v>
      </c>
      <c r="N389" s="3">
        <f t="shared" si="6"/>
        <v>0</v>
      </c>
    </row>
    <row r="390" spans="1:14">
      <c r="A390" s="1">
        <v>71</v>
      </c>
      <c r="B390" s="2" t="s">
        <v>101</v>
      </c>
      <c r="C390" s="2" t="s">
        <v>420</v>
      </c>
      <c r="D390" s="2" t="s">
        <v>421</v>
      </c>
      <c r="E390" s="3">
        <v>13073.56</v>
      </c>
      <c r="F390" s="3">
        <v>0</v>
      </c>
      <c r="G390" s="3">
        <v>0</v>
      </c>
      <c r="H390" s="3">
        <v>0</v>
      </c>
      <c r="I390" s="3">
        <v>0</v>
      </c>
      <c r="J390" s="3">
        <v>5000</v>
      </c>
      <c r="K390" s="3">
        <v>5000</v>
      </c>
      <c r="L390" s="4">
        <v>242.21</v>
      </c>
      <c r="M390" s="5">
        <v>46174</v>
      </c>
      <c r="N390" s="3">
        <f t="shared" si="6"/>
        <v>0</v>
      </c>
    </row>
    <row r="391" spans="1:14">
      <c r="A391" s="1">
        <v>72</v>
      </c>
      <c r="B391" s="2" t="s">
        <v>101</v>
      </c>
      <c r="C391" s="2" t="s">
        <v>425</v>
      </c>
      <c r="D391" s="2" t="s">
        <v>426</v>
      </c>
      <c r="E391" s="3">
        <v>3694.25</v>
      </c>
      <c r="F391" s="3">
        <v>0</v>
      </c>
      <c r="G391" s="3">
        <v>0</v>
      </c>
      <c r="H391" s="3">
        <v>0</v>
      </c>
      <c r="I391" s="3">
        <v>0</v>
      </c>
      <c r="J391" s="3">
        <v>5000</v>
      </c>
      <c r="K391" s="3">
        <v>5000</v>
      </c>
      <c r="L391" s="4">
        <v>0</v>
      </c>
      <c r="M391" s="5">
        <v>46174</v>
      </c>
      <c r="N391" s="3">
        <f t="shared" si="6"/>
        <v>0</v>
      </c>
    </row>
    <row r="392" spans="1:14">
      <c r="A392" s="1">
        <v>73</v>
      </c>
      <c r="B392" s="2" t="s">
        <v>101</v>
      </c>
      <c r="C392" s="2" t="s">
        <v>430</v>
      </c>
      <c r="D392" s="2" t="s">
        <v>431</v>
      </c>
      <c r="E392" s="3">
        <v>3510.34</v>
      </c>
      <c r="F392" s="3">
        <v>0</v>
      </c>
      <c r="G392" s="3">
        <v>0</v>
      </c>
      <c r="H392" s="3">
        <v>0</v>
      </c>
      <c r="I392" s="3">
        <v>0</v>
      </c>
      <c r="J392" s="3">
        <v>5000</v>
      </c>
      <c r="K392" s="3">
        <v>5000</v>
      </c>
      <c r="L392" s="4">
        <v>0</v>
      </c>
      <c r="M392" s="5">
        <v>46174</v>
      </c>
      <c r="N392" s="3">
        <f t="shared" si="6"/>
        <v>0</v>
      </c>
    </row>
    <row r="393" spans="1:14">
      <c r="A393" s="1">
        <v>74</v>
      </c>
      <c r="B393" s="2" t="s">
        <v>101</v>
      </c>
      <c r="C393" s="2" t="s">
        <v>435</v>
      </c>
      <c r="D393" s="2" t="s">
        <v>436</v>
      </c>
      <c r="E393" s="3">
        <v>751.72</v>
      </c>
      <c r="F393" s="3">
        <v>0</v>
      </c>
      <c r="G393" s="3">
        <v>0</v>
      </c>
      <c r="H393" s="3">
        <v>0</v>
      </c>
      <c r="I393" s="3">
        <v>0</v>
      </c>
      <c r="J393" s="3">
        <v>5000</v>
      </c>
      <c r="K393" s="3">
        <v>5000</v>
      </c>
      <c r="L393" s="4">
        <v>0</v>
      </c>
      <c r="M393" s="5">
        <v>46174</v>
      </c>
      <c r="N393" s="3">
        <f t="shared" si="6"/>
        <v>0</v>
      </c>
    </row>
    <row r="394" spans="1:14">
      <c r="A394" s="1">
        <v>75</v>
      </c>
      <c r="B394" s="2" t="s">
        <v>101</v>
      </c>
      <c r="C394" s="2" t="s">
        <v>440</v>
      </c>
      <c r="D394" s="2" t="s">
        <v>441</v>
      </c>
      <c r="E394" s="3">
        <v>2974.71</v>
      </c>
      <c r="F394" s="3">
        <v>0</v>
      </c>
      <c r="G394" s="3">
        <v>0</v>
      </c>
      <c r="H394" s="3">
        <v>0</v>
      </c>
      <c r="I394" s="3">
        <v>0</v>
      </c>
      <c r="J394" s="3">
        <v>5000</v>
      </c>
      <c r="K394" s="3">
        <v>5000</v>
      </c>
      <c r="L394" s="4">
        <v>0</v>
      </c>
      <c r="M394" s="5">
        <v>46174</v>
      </c>
      <c r="N394" s="3">
        <f t="shared" si="6"/>
        <v>0</v>
      </c>
    </row>
    <row r="395" spans="1:14">
      <c r="A395" s="1">
        <v>76</v>
      </c>
      <c r="B395" s="2" t="s">
        <v>101</v>
      </c>
      <c r="C395" s="2" t="s">
        <v>445</v>
      </c>
      <c r="D395" s="2" t="s">
        <v>446</v>
      </c>
      <c r="E395" s="3">
        <v>2498.85</v>
      </c>
      <c r="F395" s="3">
        <v>0</v>
      </c>
      <c r="G395" s="3">
        <v>0</v>
      </c>
      <c r="H395" s="3">
        <v>0</v>
      </c>
      <c r="I395" s="3">
        <v>0</v>
      </c>
      <c r="J395" s="3">
        <v>5000</v>
      </c>
      <c r="K395" s="3">
        <v>5000</v>
      </c>
      <c r="L395" s="4">
        <v>0</v>
      </c>
      <c r="M395" s="5">
        <v>46174</v>
      </c>
      <c r="N395" s="3">
        <f t="shared" si="6"/>
        <v>0</v>
      </c>
    </row>
  </sheetData>
  <autoFilter xmlns:etc="http://www.wps.cn/officeDocument/2017/etCustomData" ref="A1:O395" etc:filterBottomFollowUsedRange="0">
    <extLst/>
  </autoFilter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汇总</vt:lpstr>
      <vt:lpstr>环比变动</vt:lpstr>
      <vt:lpstr>同比变动</vt:lpstr>
      <vt:lpstr>各公司汇总</vt:lpstr>
      <vt:lpstr>工资表明细</vt:lpstr>
      <vt:lpstr>离职补偿-创想悦动</vt:lpstr>
      <vt:lpstr>动态表</vt:lpstr>
      <vt:lpstr>考勤</vt:lpstr>
      <vt:lpstr>加班费</vt:lpstr>
      <vt:lpstr>其他补发</vt:lpstr>
      <vt:lpstr>奖金</vt:lpstr>
      <vt:lpstr>房租水电</vt:lpstr>
      <vt:lpstr>税后扣款</vt:lpstr>
      <vt:lpstr>社会保险</vt:lpstr>
      <vt:lpstr>公积金</vt:lpstr>
      <vt:lpstr>专项扣除</vt:lpstr>
      <vt:lpstr>上月累计工资累计社保和公积金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huangxiaotong</cp:lastModifiedBy>
  <dcterms:created xsi:type="dcterms:W3CDTF">2013-09-05T15:19:00Z</dcterms:created>
  <cp:lastPrinted>2025-05-08T06:37:00Z</cp:lastPrinted>
  <dcterms:modified xsi:type="dcterms:W3CDTF">2026-08-04T06:09:16Z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KSOProductBuildVer">
    <vt:lpwstr>2052-12.1.0.28043</vt:lpwstr>
  </property>
  <property fmtid="{D5CDD505-2E9C-101B-9397-08002B2CF9AE}" pid="5" name="ICV">
    <vt:lpwstr>4C12FAA88E474076B10EFCDBCD33955A_13</vt:lpwstr>
  </property>
  <property fmtid="{D5CDD505-2E9C-101B-9397-08002B2CF9AE}" pid="6" name="KSOReadingLayout">
    <vt:bool>true</vt:bool>
  </property>
  <property fmtid="{D5CDD505-2E9C-101B-9397-08002B2CF9AE}" pid="7" name="CalculationRule">
    <vt:i4>0</vt:i4>
  </property>
</Properties>
</file>